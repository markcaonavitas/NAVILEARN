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SBS2022\RedirectedFolders\LSawatzky\Desktop\"/>
    </mc:Choice>
  </mc:AlternateContent>
  <xr:revisionPtr revIDLastSave="0" documentId="13_ncr:1_{4EE11FA3-5323-433A-9079-1FCCC2230F12}" xr6:coauthVersionLast="47" xr6:coauthVersionMax="47" xr10:uidLastSave="{00000000-0000-0000-0000-000000000000}"/>
  <bookViews>
    <workbookView xWindow="-28920" yWindow="-120" windowWidth="29040" windowHeight="15720" xr2:uid="{F1FDED1B-FE3A-44D5-8BBD-55243345B096}"/>
  </bookViews>
  <sheets>
    <sheet name="How To" sheetId="6" r:id="rId1"/>
    <sheet name="Battery Table" sheetId="2" r:id="rId2"/>
    <sheet name="Default Battery Chemistry" sheetId="5" r:id="rId3"/>
    <sheet name="Sheet3" sheetId="3" state="hidden" r:id="rId4"/>
    <sheet name="Sheet1" sheetId="1" state="hidden" r:id="rId5"/>
  </sheets>
  <definedNames>
    <definedName name="_xlnm._FilterDatabase" localSheetId="1" hidden="1">'Battery Table'!$A$1:$AD$156</definedName>
    <definedName name="BatteryParameters">'Battery Table'!$A$1:$A$209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0" i="2" l="1"/>
  <c r="O19" i="2"/>
  <c r="O18" i="2"/>
  <c r="O17" i="2"/>
  <c r="O16" i="2"/>
  <c r="O15" i="2"/>
  <c r="O14" i="2"/>
  <c r="O13" i="2"/>
  <c r="O12" i="2"/>
  <c r="O11" i="2"/>
  <c r="O10" i="2"/>
  <c r="X4" i="5"/>
  <c r="X5" i="5"/>
  <c r="X6" i="5"/>
  <c r="X7" i="5"/>
  <c r="X8" i="5"/>
  <c r="X9" i="5"/>
  <c r="X10" i="5"/>
  <c r="X11" i="5"/>
  <c r="X12" i="5"/>
  <c r="X13" i="5"/>
  <c r="X14" i="5"/>
  <c r="X15" i="5"/>
  <c r="X16" i="5"/>
  <c r="X17" i="5"/>
  <c r="X18" i="5"/>
  <c r="X3" i="5"/>
  <c r="S3" i="5" s="1"/>
  <c r="U18" i="5" l="1"/>
  <c r="T18" i="5"/>
  <c r="V18" i="5" s="1"/>
  <c r="U17" i="5"/>
  <c r="T17" i="5"/>
  <c r="V17" i="5" s="1"/>
  <c r="U5" i="5"/>
  <c r="T5" i="5"/>
  <c r="V5" i="5" s="1"/>
  <c r="U3" i="5"/>
  <c r="T3" i="5"/>
  <c r="V3" i="5" s="1"/>
  <c r="T6" i="5"/>
  <c r="V6" i="5" s="1"/>
  <c r="U6" i="5"/>
  <c r="T7" i="5"/>
  <c r="V7" i="5" s="1"/>
  <c r="U7" i="5"/>
  <c r="T8" i="5"/>
  <c r="V8" i="5" s="1"/>
  <c r="U8" i="5"/>
  <c r="T9" i="5"/>
  <c r="V9" i="5" s="1"/>
  <c r="U9" i="5"/>
  <c r="T10" i="5"/>
  <c r="V10" i="5" s="1"/>
  <c r="U10" i="5"/>
  <c r="T11" i="5"/>
  <c r="V11" i="5" s="1"/>
  <c r="U11" i="5"/>
  <c r="T12" i="5"/>
  <c r="V12" i="5" s="1"/>
  <c r="U12" i="5"/>
  <c r="T13" i="5"/>
  <c r="V13" i="5" s="1"/>
  <c r="U13" i="5"/>
  <c r="T14" i="5"/>
  <c r="V14" i="5" s="1"/>
  <c r="U14" i="5"/>
  <c r="T15" i="5"/>
  <c r="V15" i="5" s="1"/>
  <c r="U15" i="5"/>
  <c r="T16" i="5"/>
  <c r="V16" i="5" s="1"/>
  <c r="U16" i="5"/>
  <c r="U4" i="5"/>
  <c r="T4" i="5"/>
  <c r="V4" i="5" s="1"/>
  <c r="BG27" i="2"/>
  <c r="BG24" i="2"/>
  <c r="BG22" i="2"/>
  <c r="BG21" i="2"/>
  <c r="BG20" i="2"/>
  <c r="BG19" i="2"/>
  <c r="BG18" i="2"/>
  <c r="BG17" i="2"/>
  <c r="BG16" i="2"/>
  <c r="BG15" i="2"/>
  <c r="BG14" i="2"/>
  <c r="BG13" i="2"/>
  <c r="BG12" i="2"/>
  <c r="BG11" i="2"/>
  <c r="BG10" i="2"/>
  <c r="BG9" i="2"/>
  <c r="BG8" i="2"/>
  <c r="Y22" i="2"/>
  <c r="Y21" i="2"/>
  <c r="Y20" i="2"/>
  <c r="Y19" i="2"/>
  <c r="Y18" i="2"/>
  <c r="Y17" i="2"/>
  <c r="Y16" i="2"/>
  <c r="Y15" i="2"/>
  <c r="Y14" i="2"/>
  <c r="Y13" i="2"/>
  <c r="Y12" i="2"/>
  <c r="Y11" i="2"/>
  <c r="Y10" i="2"/>
  <c r="Y9" i="2"/>
  <c r="Y8" i="2"/>
  <c r="Y7" i="2"/>
  <c r="BI7" i="2"/>
  <c r="AF22" i="2"/>
  <c r="AF21" i="2"/>
  <c r="AF20" i="2"/>
  <c r="AF19" i="2"/>
  <c r="AF18" i="2"/>
  <c r="AF17" i="2"/>
  <c r="AF16" i="2"/>
  <c r="AF15" i="2"/>
  <c r="AF14" i="2"/>
  <c r="AF13" i="2"/>
  <c r="AF12" i="2"/>
  <c r="AF11" i="2"/>
  <c r="AF10" i="2"/>
  <c r="AF9" i="2"/>
  <c r="AF8" i="2"/>
  <c r="AF7" i="2"/>
  <c r="X7" i="2"/>
  <c r="Z8" i="2"/>
  <c r="BH27" i="2"/>
  <c r="BH24" i="2"/>
  <c r="BH22" i="2"/>
  <c r="BH21" i="2"/>
  <c r="BH20" i="2"/>
  <c r="BH19" i="2"/>
  <c r="BH18" i="2"/>
  <c r="BH17" i="2"/>
  <c r="BH16" i="2"/>
  <c r="BH15" i="2"/>
  <c r="BH14" i="2"/>
  <c r="BH13" i="2"/>
  <c r="BH12" i="2"/>
  <c r="BH11" i="2"/>
  <c r="BH10" i="2"/>
  <c r="BH9" i="2"/>
  <c r="BH8" i="2"/>
  <c r="BH7" i="2"/>
  <c r="I8" i="2"/>
  <c r="C33" i="2" s="1"/>
  <c r="CB8" i="2" s="1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C111" i="2" s="1"/>
  <c r="CB21" i="2" s="1"/>
  <c r="I22" i="2"/>
  <c r="I7" i="2"/>
  <c r="BA7" i="2"/>
  <c r="AK7" i="2"/>
  <c r="AL7" i="2"/>
  <c r="BA8" i="2"/>
  <c r="AK8" i="2"/>
  <c r="AL8" i="2"/>
  <c r="BA9" i="2"/>
  <c r="AK9" i="2"/>
  <c r="AL9" i="2"/>
  <c r="BA10" i="2"/>
  <c r="AK10" i="2"/>
  <c r="AL10" i="2"/>
  <c r="BA11" i="2"/>
  <c r="AK11" i="2"/>
  <c r="AL11" i="2"/>
  <c r="BA12" i="2"/>
  <c r="AK12" i="2"/>
  <c r="AL12" i="2"/>
  <c r="BA13" i="2"/>
  <c r="AK13" i="2"/>
  <c r="AL13" i="2"/>
  <c r="BA14" i="2"/>
  <c r="AK14" i="2"/>
  <c r="AL14" i="2"/>
  <c r="BA15" i="2"/>
  <c r="AK15" i="2"/>
  <c r="AL15" i="2"/>
  <c r="BA16" i="2"/>
  <c r="AK16" i="2"/>
  <c r="AL16" i="2"/>
  <c r="BA17" i="2"/>
  <c r="AK17" i="2"/>
  <c r="AL17" i="2"/>
  <c r="BA18" i="2"/>
  <c r="AK18" i="2"/>
  <c r="AL18" i="2"/>
  <c r="BA19" i="2"/>
  <c r="AK19" i="2"/>
  <c r="AL19" i="2"/>
  <c r="BA20" i="2"/>
  <c r="AK20" i="2"/>
  <c r="AL20" i="2"/>
  <c r="BA21" i="2"/>
  <c r="AK21" i="2"/>
  <c r="AL21" i="2"/>
  <c r="W21" i="2" s="1"/>
  <c r="BA22" i="2"/>
  <c r="AK22" i="2"/>
  <c r="AL22" i="2"/>
  <c r="W22" i="2" s="1"/>
  <c r="AM22" i="2"/>
  <c r="AM21" i="2"/>
  <c r="AM20" i="2"/>
  <c r="AM19" i="2"/>
  <c r="AM18" i="2"/>
  <c r="AM17" i="2"/>
  <c r="AM16" i="2"/>
  <c r="AM15" i="2"/>
  <c r="AM14" i="2"/>
  <c r="AM13" i="2"/>
  <c r="AM12" i="2"/>
  <c r="AM11" i="2"/>
  <c r="AM10" i="2"/>
  <c r="AM9" i="2"/>
  <c r="AM8" i="2"/>
  <c r="AM7" i="2"/>
  <c r="AW7" i="2"/>
  <c r="AX7" i="2"/>
  <c r="AU7" i="2"/>
  <c r="AW8" i="2"/>
  <c r="AX8" i="2"/>
  <c r="AU8" i="2"/>
  <c r="AW9" i="2"/>
  <c r="AX9" i="2"/>
  <c r="AU9" i="2"/>
  <c r="AW10" i="2"/>
  <c r="AX10" i="2"/>
  <c r="AU10" i="2"/>
  <c r="AW11" i="2"/>
  <c r="AX11" i="2"/>
  <c r="AU11" i="2"/>
  <c r="AW12" i="2"/>
  <c r="AX12" i="2"/>
  <c r="AU12" i="2"/>
  <c r="AW13" i="2"/>
  <c r="AX13" i="2"/>
  <c r="AU13" i="2"/>
  <c r="AW14" i="2"/>
  <c r="AX14" i="2"/>
  <c r="AU14" i="2"/>
  <c r="AW15" i="2"/>
  <c r="AX15" i="2"/>
  <c r="AU15" i="2"/>
  <c r="AW16" i="2"/>
  <c r="AX16" i="2"/>
  <c r="AU16" i="2"/>
  <c r="AW17" i="2"/>
  <c r="AX17" i="2"/>
  <c r="AU17" i="2"/>
  <c r="AW18" i="2"/>
  <c r="AX18" i="2"/>
  <c r="AU18" i="2"/>
  <c r="AW19" i="2"/>
  <c r="AX19" i="2"/>
  <c r="AU19" i="2"/>
  <c r="AW20" i="2"/>
  <c r="AX20" i="2"/>
  <c r="AU20" i="2"/>
  <c r="AW21" i="2"/>
  <c r="AX21" i="2"/>
  <c r="AU21" i="2"/>
  <c r="AW22" i="2"/>
  <c r="AX22" i="2"/>
  <c r="AU22" i="2"/>
  <c r="AV22" i="2"/>
  <c r="AV21" i="2"/>
  <c r="AV20" i="2"/>
  <c r="AV19" i="2"/>
  <c r="AV18" i="2"/>
  <c r="AV17" i="2"/>
  <c r="AV16" i="2"/>
  <c r="AV15" i="2"/>
  <c r="AV14" i="2"/>
  <c r="AV13" i="2"/>
  <c r="AV12" i="2"/>
  <c r="AV11" i="2"/>
  <c r="AV10" i="2"/>
  <c r="AV9" i="2"/>
  <c r="AV8" i="2"/>
  <c r="AV7" i="2"/>
  <c r="AN7" i="2"/>
  <c r="AO7" i="2"/>
  <c r="AN8" i="2"/>
  <c r="AO8" i="2"/>
  <c r="AN9" i="2"/>
  <c r="AO9" i="2"/>
  <c r="AN10" i="2"/>
  <c r="AO10" i="2"/>
  <c r="AN11" i="2"/>
  <c r="AO11" i="2"/>
  <c r="AN12" i="2"/>
  <c r="AO12" i="2"/>
  <c r="AN13" i="2"/>
  <c r="AO13" i="2"/>
  <c r="AN14" i="2"/>
  <c r="AO14" i="2"/>
  <c r="AN15" i="2"/>
  <c r="AO15" i="2"/>
  <c r="AN16" i="2"/>
  <c r="AO16" i="2"/>
  <c r="AN17" i="2"/>
  <c r="AO17" i="2"/>
  <c r="AN18" i="2"/>
  <c r="AO18" i="2"/>
  <c r="AN19" i="2"/>
  <c r="AO19" i="2"/>
  <c r="AN20" i="2"/>
  <c r="AO20" i="2"/>
  <c r="AN21" i="2"/>
  <c r="AO21" i="2"/>
  <c r="AN22" i="2"/>
  <c r="AO22" i="2"/>
  <c r="AP22" i="2"/>
  <c r="AP21" i="2"/>
  <c r="AP20" i="2"/>
  <c r="AP19" i="2"/>
  <c r="AP18" i="2"/>
  <c r="AP17" i="2"/>
  <c r="AP16" i="2"/>
  <c r="AP15" i="2"/>
  <c r="AP14" i="2"/>
  <c r="AP13" i="2"/>
  <c r="AP12" i="2"/>
  <c r="AP11" i="2"/>
  <c r="AP10" i="2"/>
  <c r="AP9" i="2"/>
  <c r="AP8" i="2"/>
  <c r="AP7" i="2"/>
  <c r="AQ7" i="2"/>
  <c r="AQ8" i="2"/>
  <c r="AQ9" i="2"/>
  <c r="AQ10" i="2"/>
  <c r="AQ11" i="2"/>
  <c r="AQ12" i="2"/>
  <c r="AQ13" i="2"/>
  <c r="AQ14" i="2"/>
  <c r="AQ15" i="2"/>
  <c r="AQ16" i="2"/>
  <c r="AQ17" i="2"/>
  <c r="AQ18" i="2"/>
  <c r="AQ19" i="2"/>
  <c r="AQ20" i="2"/>
  <c r="AQ21" i="2"/>
  <c r="AQ22" i="2"/>
  <c r="AR22" i="2"/>
  <c r="AR21" i="2"/>
  <c r="AR20" i="2"/>
  <c r="AR19" i="2"/>
  <c r="AR18" i="2"/>
  <c r="AR17" i="2"/>
  <c r="AR16" i="2"/>
  <c r="AR15" i="2"/>
  <c r="AR14" i="2"/>
  <c r="AR13" i="2"/>
  <c r="AR12" i="2"/>
  <c r="AR11" i="2"/>
  <c r="AR10" i="2"/>
  <c r="AR9" i="2"/>
  <c r="AR8" i="2"/>
  <c r="AR7" i="2"/>
  <c r="AB7" i="2"/>
  <c r="AC7" i="2"/>
  <c r="AB8" i="2"/>
  <c r="AC8" i="2"/>
  <c r="AB9" i="2"/>
  <c r="AC9" i="2"/>
  <c r="AB10" i="2"/>
  <c r="AC10" i="2"/>
  <c r="AB11" i="2"/>
  <c r="AC11" i="2"/>
  <c r="AB12" i="2"/>
  <c r="AC12" i="2"/>
  <c r="AB13" i="2"/>
  <c r="AC13" i="2"/>
  <c r="AB14" i="2"/>
  <c r="AC14" i="2"/>
  <c r="AB15" i="2"/>
  <c r="AC15" i="2"/>
  <c r="AB16" i="2"/>
  <c r="AC16" i="2"/>
  <c r="AB17" i="2"/>
  <c r="AC17" i="2"/>
  <c r="AB18" i="2"/>
  <c r="AC18" i="2"/>
  <c r="AB19" i="2"/>
  <c r="AC19" i="2"/>
  <c r="AB20" i="2"/>
  <c r="AC20" i="2"/>
  <c r="AB21" i="2"/>
  <c r="AC21" i="2"/>
  <c r="AB22" i="2"/>
  <c r="AC22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7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7" i="2"/>
  <c r="S7" i="2"/>
  <c r="T7" i="2"/>
  <c r="S8" i="2"/>
  <c r="T8" i="2"/>
  <c r="S9" i="2"/>
  <c r="T9" i="2"/>
  <c r="S10" i="2"/>
  <c r="T10" i="2"/>
  <c r="S11" i="2"/>
  <c r="T11" i="2"/>
  <c r="S12" i="2"/>
  <c r="T12" i="2"/>
  <c r="S13" i="2"/>
  <c r="T13" i="2"/>
  <c r="S14" i="2"/>
  <c r="T14" i="2"/>
  <c r="S15" i="2"/>
  <c r="T15" i="2"/>
  <c r="S16" i="2"/>
  <c r="T16" i="2"/>
  <c r="S17" i="2"/>
  <c r="T17" i="2"/>
  <c r="S18" i="2"/>
  <c r="T18" i="2"/>
  <c r="S19" i="2"/>
  <c r="T19" i="2"/>
  <c r="S20" i="2"/>
  <c r="T20" i="2"/>
  <c r="S21" i="2"/>
  <c r="T21" i="2"/>
  <c r="S22" i="2"/>
  <c r="T22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7" i="2"/>
  <c r="AA8" i="2"/>
  <c r="BF8" i="2"/>
  <c r="BC8" i="2"/>
  <c r="V8" i="2"/>
  <c r="AA9" i="2"/>
  <c r="BF9" i="2"/>
  <c r="BC9" i="2"/>
  <c r="V9" i="2"/>
  <c r="AA10" i="2"/>
  <c r="BF10" i="2"/>
  <c r="BC10" i="2"/>
  <c r="V10" i="2"/>
  <c r="AA11" i="2"/>
  <c r="BF11" i="2"/>
  <c r="BC11" i="2"/>
  <c r="V11" i="2"/>
  <c r="AA12" i="2"/>
  <c r="BF12" i="2"/>
  <c r="BC12" i="2"/>
  <c r="V12" i="2"/>
  <c r="AA13" i="2"/>
  <c r="BF13" i="2"/>
  <c r="BC13" i="2"/>
  <c r="V13" i="2"/>
  <c r="AA14" i="2"/>
  <c r="BF14" i="2"/>
  <c r="BC14" i="2"/>
  <c r="V14" i="2"/>
  <c r="AA15" i="2"/>
  <c r="BF15" i="2"/>
  <c r="BC15" i="2"/>
  <c r="V15" i="2"/>
  <c r="AA16" i="2"/>
  <c r="BF16" i="2"/>
  <c r="BC16" i="2"/>
  <c r="V16" i="2"/>
  <c r="AA17" i="2"/>
  <c r="BF17" i="2"/>
  <c r="BC17" i="2"/>
  <c r="V17" i="2"/>
  <c r="AA18" i="2"/>
  <c r="BF18" i="2"/>
  <c r="BC18" i="2"/>
  <c r="V18" i="2"/>
  <c r="AA19" i="2"/>
  <c r="BF19" i="2"/>
  <c r="BC19" i="2"/>
  <c r="V19" i="2"/>
  <c r="AA20" i="2"/>
  <c r="BF20" i="2"/>
  <c r="BC20" i="2"/>
  <c r="V20" i="2"/>
  <c r="AA21" i="2"/>
  <c r="BF21" i="2"/>
  <c r="BC21" i="2"/>
  <c r="V21" i="2"/>
  <c r="AA22" i="2"/>
  <c r="BF22" i="2"/>
  <c r="BC22" i="2"/>
  <c r="V22" i="2"/>
  <c r="BC7" i="2"/>
  <c r="V7" i="2"/>
  <c r="AA7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7" i="2"/>
  <c r="CB1" i="2"/>
  <c r="A209" i="2"/>
  <c r="A149" i="2"/>
  <c r="A150" i="2"/>
  <c r="A154" i="2"/>
  <c r="A155" i="2"/>
  <c r="A156" i="2"/>
  <c r="A160" i="2"/>
  <c r="A161" i="2"/>
  <c r="A162" i="2"/>
  <c r="A166" i="2"/>
  <c r="A167" i="2"/>
  <c r="A168" i="2"/>
  <c r="A172" i="2"/>
  <c r="A173" i="2"/>
  <c r="A174" i="2"/>
  <c r="A178" i="2"/>
  <c r="A179" i="2"/>
  <c r="A180" i="2"/>
  <c r="A184" i="2"/>
  <c r="A185" i="2"/>
  <c r="A186" i="2"/>
  <c r="A190" i="2"/>
  <c r="A191" i="2"/>
  <c r="A192" i="2"/>
  <c r="A196" i="2"/>
  <c r="A197" i="2"/>
  <c r="A198" i="2"/>
  <c r="A202" i="2"/>
  <c r="A203" i="2"/>
  <c r="A204" i="2"/>
  <c r="C207" i="2"/>
  <c r="A207" i="2" s="1"/>
  <c r="C205" i="2"/>
  <c r="C206" i="2" s="1"/>
  <c r="A206" i="2" s="1"/>
  <c r="C201" i="2"/>
  <c r="A201" i="2" s="1"/>
  <c r="C199" i="2"/>
  <c r="C200" i="2" s="1"/>
  <c r="A200" i="2" s="1"/>
  <c r="C195" i="2"/>
  <c r="A195" i="2" s="1"/>
  <c r="C193" i="2"/>
  <c r="C194" i="2" s="1"/>
  <c r="A194" i="2" s="1"/>
  <c r="C189" i="2"/>
  <c r="A189" i="2" s="1"/>
  <c r="C187" i="2"/>
  <c r="C188" i="2" s="1"/>
  <c r="A188" i="2" s="1"/>
  <c r="C183" i="2"/>
  <c r="A183" i="2" s="1"/>
  <c r="C181" i="2"/>
  <c r="C182" i="2" s="1"/>
  <c r="A182" i="2" s="1"/>
  <c r="C177" i="2"/>
  <c r="A177" i="2" s="1"/>
  <c r="C175" i="2"/>
  <c r="C176" i="2" s="1"/>
  <c r="A176" i="2" s="1"/>
  <c r="C171" i="2"/>
  <c r="A171" i="2" s="1"/>
  <c r="C169" i="2"/>
  <c r="C170" i="2" s="1"/>
  <c r="A170" i="2" s="1"/>
  <c r="C165" i="2"/>
  <c r="A165" i="2" s="1"/>
  <c r="C163" i="2"/>
  <c r="C164" i="2" s="1"/>
  <c r="A164" i="2" s="1"/>
  <c r="C159" i="2"/>
  <c r="A159" i="2" s="1"/>
  <c r="C157" i="2"/>
  <c r="C158" i="2" s="1"/>
  <c r="A158" i="2" s="1"/>
  <c r="C9" i="2"/>
  <c r="CB4" i="2" s="1"/>
  <c r="C7" i="2"/>
  <c r="C8" i="2" s="1"/>
  <c r="C13" i="2"/>
  <c r="C14" i="2" s="1"/>
  <c r="C21" i="2"/>
  <c r="CB6" i="2" s="1"/>
  <c r="C19" i="2"/>
  <c r="C20" i="2" s="1"/>
  <c r="C25" i="2"/>
  <c r="C26" i="2" s="1"/>
  <c r="C31" i="2"/>
  <c r="C32" i="2" s="1"/>
  <c r="C37" i="2"/>
  <c r="C38" i="2" s="1"/>
  <c r="C43" i="2"/>
  <c r="C44" i="2" s="1"/>
  <c r="C49" i="2"/>
  <c r="C50" i="2" s="1"/>
  <c r="C55" i="2"/>
  <c r="C56" i="2" s="1"/>
  <c r="C61" i="2"/>
  <c r="C62" i="2" s="1"/>
  <c r="C67" i="2"/>
  <c r="C68" i="2" s="1"/>
  <c r="C73" i="2"/>
  <c r="C74" i="2" s="1"/>
  <c r="C79" i="2"/>
  <c r="C80" i="2" s="1"/>
  <c r="C85" i="2"/>
  <c r="C86" i="2" s="1"/>
  <c r="C91" i="2"/>
  <c r="C92" i="2" s="1"/>
  <c r="C97" i="2"/>
  <c r="C98" i="2" s="1"/>
  <c r="C103" i="2"/>
  <c r="C104" i="2" s="1"/>
  <c r="C109" i="2"/>
  <c r="C110" i="2" s="1"/>
  <c r="C115" i="2"/>
  <c r="C116" i="2" s="1"/>
  <c r="C123" i="2"/>
  <c r="CB23" i="2" s="1"/>
  <c r="C121" i="2"/>
  <c r="C122" i="2" s="1"/>
  <c r="C127" i="2"/>
  <c r="C128" i="2" s="1"/>
  <c r="A128" i="2" s="1"/>
  <c r="C135" i="2"/>
  <c r="A135" i="2" s="1"/>
  <c r="C133" i="2"/>
  <c r="C134" i="2" s="1"/>
  <c r="A134" i="2" s="1"/>
  <c r="C141" i="2"/>
  <c r="CB26" i="2" s="1"/>
  <c r="C139" i="2"/>
  <c r="C140" i="2" s="1"/>
  <c r="C145" i="2"/>
  <c r="C146" i="2" s="1"/>
  <c r="C153" i="2"/>
  <c r="A153" i="2" s="1"/>
  <c r="C151" i="2"/>
  <c r="C152" i="2" s="1"/>
  <c r="A152" i="2" s="1"/>
  <c r="BF24" i="2"/>
  <c r="BF27" i="2"/>
  <c r="A136" i="2"/>
  <c r="A132" i="2"/>
  <c r="A131" i="2"/>
  <c r="A130" i="2"/>
  <c r="A126" i="2"/>
  <c r="A125" i="2"/>
  <c r="AV24" i="2"/>
  <c r="AW24" i="2"/>
  <c r="AX24" i="2"/>
  <c r="AU24" i="2"/>
  <c r="BB24" i="2"/>
  <c r="BD24" i="2"/>
  <c r="BE24" i="2"/>
  <c r="P24" i="2"/>
  <c r="Q24" i="2"/>
  <c r="AZ24" i="2"/>
  <c r="AT24" i="2"/>
  <c r="BA24" i="2"/>
  <c r="AK25" i="2"/>
  <c r="AL25" i="2"/>
  <c r="AM25" i="2"/>
  <c r="Q27" i="2"/>
  <c r="BA27" i="2"/>
  <c r="BB27" i="2"/>
  <c r="P27" i="2"/>
  <c r="A1" i="2"/>
  <c r="W20" i="2" l="1"/>
  <c r="W17" i="2"/>
  <c r="W8" i="2"/>
  <c r="N12" i="2"/>
  <c r="W13" i="2"/>
  <c r="W10" i="2"/>
  <c r="W7" i="2"/>
  <c r="W9" i="2"/>
  <c r="W18" i="2"/>
  <c r="W19" i="2"/>
  <c r="X22" i="2"/>
  <c r="M19" i="2"/>
  <c r="N16" i="2"/>
  <c r="C69" i="2"/>
  <c r="CB14" i="2" s="1"/>
  <c r="W14" i="2"/>
  <c r="J13" i="2"/>
  <c r="C63" i="2" s="1"/>
  <c r="CB13" i="2" s="1"/>
  <c r="X10" i="2"/>
  <c r="C57" i="2"/>
  <c r="CB12" i="2" s="1"/>
  <c r="X21" i="2"/>
  <c r="J17" i="2"/>
  <c r="C87" i="2" s="1"/>
  <c r="CB17" i="2" s="1"/>
  <c r="X9" i="2"/>
  <c r="N18" i="2"/>
  <c r="M15" i="2"/>
  <c r="J20" i="2"/>
  <c r="N10" i="2"/>
  <c r="M11" i="2"/>
  <c r="X18" i="2"/>
  <c r="N19" i="2"/>
  <c r="K20" i="2"/>
  <c r="L20" i="2"/>
  <c r="N20" i="2"/>
  <c r="J10" i="2"/>
  <c r="C45" i="2" s="1"/>
  <c r="CB10" i="2" s="1"/>
  <c r="L10" i="2"/>
  <c r="N11" i="2"/>
  <c r="L12" i="2"/>
  <c r="M12" i="2"/>
  <c r="K13" i="2"/>
  <c r="L13" i="2"/>
  <c r="N15" i="2"/>
  <c r="X11" i="2"/>
  <c r="X13" i="2"/>
  <c r="M20" i="2"/>
  <c r="C105" i="2"/>
  <c r="CB20" i="2" s="1"/>
  <c r="X20" i="2"/>
  <c r="K17" i="2"/>
  <c r="L17" i="2"/>
  <c r="M13" i="2"/>
  <c r="M17" i="2"/>
  <c r="N13" i="2"/>
  <c r="N17" i="2"/>
  <c r="J18" i="2"/>
  <c r="C93" i="2" s="1"/>
  <c r="CB18" i="2" s="1"/>
  <c r="C117" i="2"/>
  <c r="CB22" i="2" s="1"/>
  <c r="J14" i="2"/>
  <c r="W11" i="2"/>
  <c r="X12" i="2"/>
  <c r="K10" i="2"/>
  <c r="K14" i="2"/>
  <c r="K18" i="2"/>
  <c r="L18" i="2"/>
  <c r="X14" i="2"/>
  <c r="M10" i="2"/>
  <c r="M14" i="2"/>
  <c r="M18" i="2"/>
  <c r="W12" i="2"/>
  <c r="X15" i="2"/>
  <c r="N14" i="2"/>
  <c r="X16" i="2"/>
  <c r="J11" i="2"/>
  <c r="J15" i="2"/>
  <c r="J19" i="2"/>
  <c r="C99" i="2" s="1"/>
  <c r="CB19" i="2" s="1"/>
  <c r="M16" i="2"/>
  <c r="L14" i="2"/>
  <c r="W15" i="2"/>
  <c r="W16" i="2"/>
  <c r="X17" i="2"/>
  <c r="K11" i="2"/>
  <c r="K15" i="2"/>
  <c r="K19" i="2"/>
  <c r="L11" i="2"/>
  <c r="L19" i="2"/>
  <c r="L15" i="2"/>
  <c r="X19" i="2"/>
  <c r="J12" i="2"/>
  <c r="J16" i="2"/>
  <c r="K12" i="2"/>
  <c r="K16" i="2"/>
  <c r="L16" i="2"/>
  <c r="C81" i="2"/>
  <c r="CB16" i="2" s="1"/>
  <c r="C51" i="2"/>
  <c r="CB11" i="2" s="1"/>
  <c r="C75" i="2"/>
  <c r="CB15" i="2" s="1"/>
  <c r="C147" i="2"/>
  <c r="CB27" i="2" s="1"/>
  <c r="CB37" i="2"/>
  <c r="C129" i="2"/>
  <c r="CB24" i="2" s="1"/>
  <c r="C39" i="2"/>
  <c r="CB9" i="2" s="1"/>
  <c r="CB36" i="2"/>
  <c r="CB35" i="2"/>
  <c r="CB34" i="2"/>
  <c r="CB33" i="2"/>
  <c r="CB32" i="2"/>
  <c r="CB31" i="2"/>
  <c r="CB30" i="2"/>
  <c r="CB29" i="2"/>
  <c r="CB28" i="2"/>
  <c r="CB25" i="2"/>
  <c r="C27" i="2"/>
  <c r="CB7" i="2" s="1"/>
  <c r="A175" i="2"/>
  <c r="A193" i="2"/>
  <c r="A169" i="2"/>
  <c r="A187" i="2"/>
  <c r="A205" i="2"/>
  <c r="A163" i="2"/>
  <c r="A181" i="2"/>
  <c r="A151" i="2"/>
  <c r="A199" i="2"/>
  <c r="A157" i="2"/>
  <c r="A133" i="2"/>
  <c r="A127" i="2"/>
  <c r="A129" i="2" l="1"/>
  <c r="H11" i="3"/>
  <c r="H12" i="3"/>
  <c r="H13" i="3"/>
  <c r="H14" i="3"/>
  <c r="H15" i="3"/>
  <c r="H16" i="3"/>
  <c r="H17" i="3"/>
  <c r="H18" i="3"/>
  <c r="H19" i="3"/>
  <c r="H10" i="3"/>
  <c r="H8" i="3"/>
  <c r="H9" i="3"/>
  <c r="A4" i="2" l="1"/>
  <c r="A5" i="2"/>
  <c r="A6" i="2"/>
  <c r="A10" i="2"/>
  <c r="A11" i="2"/>
  <c r="A12" i="2"/>
  <c r="A16" i="2"/>
  <c r="A17" i="2"/>
  <c r="A18" i="2"/>
  <c r="A22" i="2"/>
  <c r="A23" i="2"/>
  <c r="A24" i="2"/>
  <c r="A28" i="2"/>
  <c r="A29" i="2"/>
  <c r="A30" i="2"/>
  <c r="A34" i="2"/>
  <c r="A35" i="2"/>
  <c r="A36" i="2"/>
  <c r="A40" i="2"/>
  <c r="A41" i="2"/>
  <c r="A42" i="2"/>
  <c r="A46" i="2"/>
  <c r="A47" i="2"/>
  <c r="A48" i="2"/>
  <c r="A52" i="2"/>
  <c r="A53" i="2"/>
  <c r="A54" i="2"/>
  <c r="A58" i="2"/>
  <c r="A59" i="2"/>
  <c r="A60" i="2"/>
  <c r="A64" i="2"/>
  <c r="A65" i="2"/>
  <c r="A66" i="2"/>
  <c r="A70" i="2"/>
  <c r="A71" i="2"/>
  <c r="A72" i="2"/>
  <c r="A76" i="2"/>
  <c r="A77" i="2"/>
  <c r="A78" i="2"/>
  <c r="A82" i="2"/>
  <c r="A83" i="2"/>
  <c r="A84" i="2"/>
  <c r="A88" i="2"/>
  <c r="A89" i="2"/>
  <c r="A90" i="2"/>
  <c r="A94" i="2"/>
  <c r="A95" i="2"/>
  <c r="A96" i="2"/>
  <c r="A100" i="2"/>
  <c r="A101" i="2"/>
  <c r="A102" i="2"/>
  <c r="A106" i="2"/>
  <c r="A107" i="2"/>
  <c r="A108" i="2"/>
  <c r="A112" i="2"/>
  <c r="A113" i="2"/>
  <c r="A114" i="2"/>
  <c r="A118" i="2"/>
  <c r="A119" i="2"/>
  <c r="A120" i="2"/>
  <c r="A124" i="2"/>
  <c r="A137" i="2"/>
  <c r="A138" i="2"/>
  <c r="A142" i="2"/>
  <c r="A143" i="2"/>
  <c r="A144" i="2"/>
  <c r="A148" i="2"/>
  <c r="A208" i="2"/>
  <c r="A147" i="2"/>
  <c r="A146" i="2"/>
  <c r="A141" i="2"/>
  <c r="A140" i="2"/>
  <c r="A123" i="2"/>
  <c r="A122" i="2"/>
  <c r="A117" i="2"/>
  <c r="A116" i="2"/>
  <c r="A111" i="2"/>
  <c r="A110" i="2"/>
  <c r="A105" i="2"/>
  <c r="A104" i="2"/>
  <c r="A99" i="2"/>
  <c r="A98" i="2"/>
  <c r="A93" i="2"/>
  <c r="A92" i="2"/>
  <c r="A87" i="2"/>
  <c r="A86" i="2"/>
  <c r="A81" i="2"/>
  <c r="A80" i="2"/>
  <c r="A75" i="2"/>
  <c r="A74" i="2"/>
  <c r="A69" i="2"/>
  <c r="A68" i="2"/>
  <c r="A63" i="2"/>
  <c r="A62" i="2"/>
  <c r="A57" i="2"/>
  <c r="A56" i="2"/>
  <c r="A51" i="2"/>
  <c r="A50" i="2"/>
  <c r="A45" i="2"/>
  <c r="A44" i="2"/>
  <c r="A39" i="2"/>
  <c r="A38" i="2"/>
  <c r="A33" i="2"/>
  <c r="A32" i="2"/>
  <c r="A27" i="2"/>
  <c r="A26" i="2"/>
  <c r="A21" i="2"/>
  <c r="A20" i="2"/>
  <c r="A14" i="2"/>
  <c r="A9" i="2"/>
  <c r="A8" i="2"/>
  <c r="A25" i="2" l="1"/>
  <c r="A121" i="2"/>
  <c r="A145" i="2"/>
  <c r="A73" i="2"/>
  <c r="A115" i="2"/>
  <c r="A67" i="2"/>
  <c r="A19" i="2"/>
  <c r="A85" i="2"/>
  <c r="A37" i="2"/>
  <c r="A103" i="2"/>
  <c r="A55" i="2"/>
  <c r="A7" i="2"/>
  <c r="A91" i="2"/>
  <c r="A43" i="2"/>
  <c r="A109" i="2"/>
  <c r="A61" i="2"/>
  <c r="A13" i="2"/>
  <c r="A139" i="2"/>
  <c r="A79" i="2"/>
  <c r="A31" i="2"/>
  <c r="A97" i="2"/>
  <c r="A49" i="2"/>
  <c r="R4" i="1"/>
  <c r="R5" i="1"/>
  <c r="R6" i="1"/>
  <c r="R7" i="1"/>
  <c r="R8" i="1"/>
  <c r="R9" i="1"/>
  <c r="R10" i="1"/>
  <c r="R11" i="1"/>
  <c r="R12" i="1"/>
  <c r="R3" i="1"/>
  <c r="F15" i="1" l="1"/>
  <c r="E15" i="1"/>
  <c r="D15" i="1"/>
  <c r="C15" i="1" s="1"/>
  <c r="G15" i="1"/>
  <c r="F16" i="1"/>
  <c r="E16" i="1"/>
  <c r="D16" i="1"/>
  <c r="C16" i="1" s="1"/>
  <c r="G16" i="1"/>
  <c r="D23" i="1"/>
  <c r="C23" i="1" s="1"/>
  <c r="E23" i="1"/>
  <c r="F23" i="1"/>
  <c r="D24" i="1"/>
  <c r="C24" i="1" s="1"/>
  <c r="E24" i="1"/>
  <c r="F24" i="1"/>
  <c r="G24" i="1"/>
  <c r="G23" i="1"/>
  <c r="D14" i="1"/>
  <c r="E14" i="1"/>
  <c r="E26" i="1" s="1"/>
  <c r="F14" i="1"/>
  <c r="F26" i="1" s="1"/>
  <c r="G14" i="1"/>
  <c r="G26" i="1" s="1"/>
  <c r="D2" i="1"/>
  <c r="E2" i="1"/>
  <c r="F2" i="1"/>
  <c r="G2" i="1"/>
  <c r="I4" i="1"/>
  <c r="J4" i="1" s="1"/>
  <c r="D4" i="1" s="1"/>
  <c r="I5" i="1"/>
  <c r="J5" i="1" s="1"/>
  <c r="D5" i="1" s="1"/>
  <c r="I6" i="1"/>
  <c r="I7" i="1"/>
  <c r="I8" i="1"/>
  <c r="J8" i="1" s="1"/>
  <c r="D8" i="1" s="1"/>
  <c r="I9" i="1"/>
  <c r="J9" i="1" s="1"/>
  <c r="D9" i="1" s="1"/>
  <c r="I10" i="1"/>
  <c r="J10" i="1" s="1"/>
  <c r="D10" i="1" s="1"/>
  <c r="I11" i="1"/>
  <c r="J11" i="1" s="1"/>
  <c r="D11" i="1" s="1"/>
  <c r="I12" i="1"/>
  <c r="J12" i="1" s="1"/>
  <c r="D12" i="1" s="1"/>
  <c r="I3" i="1"/>
  <c r="J3" i="1" s="1"/>
  <c r="D3" i="1" s="1"/>
  <c r="J6" i="1"/>
  <c r="D6" i="1" s="1"/>
  <c r="J7" i="1"/>
  <c r="D7" i="1" s="1"/>
  <c r="L3" i="1"/>
  <c r="D26" i="1" l="1"/>
  <c r="C14" i="1"/>
  <c r="F5" i="1"/>
  <c r="G5" i="1"/>
  <c r="C5" i="1"/>
  <c r="E5" i="1"/>
  <c r="C10" i="1"/>
  <c r="E10" i="1"/>
  <c r="F10" i="1"/>
  <c r="G10" i="1"/>
  <c r="F9" i="1"/>
  <c r="G9" i="1"/>
  <c r="C9" i="1"/>
  <c r="E9" i="1"/>
  <c r="G11" i="1"/>
  <c r="F11" i="1"/>
  <c r="C11" i="1"/>
  <c r="E11" i="1"/>
  <c r="C8" i="1"/>
  <c r="E8" i="1"/>
  <c r="F8" i="1"/>
  <c r="G8" i="1"/>
  <c r="C3" i="1"/>
  <c r="E3" i="1"/>
  <c r="F3" i="1"/>
  <c r="G3" i="1"/>
  <c r="F7" i="1"/>
  <c r="G7" i="1"/>
  <c r="C7" i="1"/>
  <c r="E7" i="1"/>
  <c r="C6" i="1"/>
  <c r="E6" i="1"/>
  <c r="F6" i="1"/>
  <c r="G6" i="1"/>
  <c r="C12" i="1"/>
  <c r="E12" i="1"/>
  <c r="F12" i="1"/>
  <c r="G12" i="1"/>
  <c r="C4" i="1"/>
  <c r="E4" i="1"/>
  <c r="F4" i="1"/>
  <c r="G4" i="1"/>
  <c r="C15" i="2" l="1"/>
  <c r="A15" i="2" s="1"/>
  <c r="CB5" i="2" l="1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C2" i="2"/>
  <c r="A2" i="2"/>
  <c r="CB2" i="2"/>
  <c r="BA1" i="2"/>
  <c r="BB1" i="2"/>
  <c r="BC1" i="2"/>
  <c r="BD1" i="2"/>
  <c r="BE1" i="2"/>
  <c r="BF1" i="2"/>
  <c r="BG1" i="2"/>
  <c r="BH1" i="2"/>
  <c r="H2" i="2"/>
  <c r="C3" i="2"/>
  <c r="CB3" i="2"/>
  <c r="A3" i="2"/>
</calcChain>
</file>

<file path=xl/sharedStrings.xml><?xml version="1.0" encoding="utf-8"?>
<sst xmlns="http://schemas.openxmlformats.org/spreadsheetml/2006/main" count="586" uniqueCount="211">
  <si>
    <t>Battery0AFoldbackStartingLowVoltage_q7</t>
  </si>
  <si>
    <t>NOMINALBATTERYV</t>
  </si>
  <si>
    <t>Battery25AFoldbackStartingLowVoltage_q7</t>
  </si>
  <si>
    <t>Battery75AFoldbackStartingLowVoltage_q7</t>
  </si>
  <si>
    <t>Battery150AFoldbackStartingLowVoltage_q7</t>
  </si>
  <si>
    <t>Battery225AFoldbackStartingLowVoltage_q7</t>
  </si>
  <si>
    <t>Battery0AFoldbackEndingLowVoltage_q7</t>
  </si>
  <si>
    <t>Battery25AFoldbackEndingLowVoltage_q7</t>
  </si>
  <si>
    <t>Battery75AFoldbackEndingLowVoltage_q7</t>
  </si>
  <si>
    <t>Battery150AFoldbackEndingLowVoltage_q7</t>
  </si>
  <si>
    <t>Battery225AFoldbackEndingLowVoltage_q7</t>
  </si>
  <si>
    <t>IBATLIMIT</t>
  </si>
  <si>
    <t>BrakeResistorOnVoltage_puq7</t>
  </si>
  <si>
    <t>LowVoltageFoldbackStartingVoltage_q7</t>
  </si>
  <si>
    <t>LowVoltageFoldbackEndingVoltage_q7</t>
  </si>
  <si>
    <t>BatteryContinuousDischargeCurrent_Adc_q4</t>
  </si>
  <si>
    <t>BatteryDischargePulseCapacity</t>
  </si>
  <si>
    <t>ChargeIdc_Adc_q4_limit</t>
  </si>
  <si>
    <t>BatteryContinuousChargeCurrent_Adc_q4</t>
  </si>
  <si>
    <t>BatteryChargePulseCapacity</t>
  </si>
  <si>
    <t>BatteryOverVoltageFoldbackStartingVoltage_puq7</t>
  </si>
  <si>
    <t>BatteryOverVoltageFoldbackEndingVoltage_puq7</t>
  </si>
  <si>
    <t>allied 80ahr</t>
  </si>
  <si>
    <t>C</t>
  </si>
  <si>
    <t>6C</t>
  </si>
  <si>
    <t>Volt drop</t>
  </si>
  <si>
    <t>Cable Resistance + 10mOhm battery</t>
  </si>
  <si>
    <t>Brake resistor off voltage</t>
  </si>
  <si>
    <t>undervoltagethreshold</t>
  </si>
  <si>
    <t xml:space="preserve">    &lt;ParameterFile&gt;</t>
  </si>
  <si>
    <t xml:space="preserve">        &lt;ParameterFileItemList&gt;</t>
  </si>
  <si>
    <t xml:space="preserve">            &lt;ParameterFileItem&gt;</t>
  </si>
  <si>
    <t xml:space="preserve">                &lt;ViewType&gt;ReadOnly&lt;/ViewType&gt;</t>
  </si>
  <si>
    <t xml:space="preserve">            &lt;/ParameterFileItem&gt;</t>
  </si>
  <si>
    <t>&lt;ParameterFileItem&gt;</t>
  </si>
  <si>
    <t xml:space="preserve">    &lt;ParameterFileItem&gt;</t>
  </si>
  <si>
    <t>Lead Acid</t>
  </si>
  <si>
    <t>Kane Frisby</t>
  </si>
  <si>
    <t>Address</t>
  </si>
  <si>
    <t>&lt;/Address&gt;</t>
  </si>
  <si>
    <t xml:space="preserve">                &lt;Address&gt;</t>
  </si>
  <si>
    <t xml:space="preserve">                &lt;PropertyName&gt;</t>
  </si>
  <si>
    <t>&lt;/PropertyName&gt;</t>
  </si>
  <si>
    <t xml:space="preserve">                &lt;ParameterValue&gt;</t>
  </si>
  <si>
    <t>&lt;/ParameterValue&gt;</t>
  </si>
  <si>
    <t>UNDERVOLTAGETHRESHOLD</t>
  </si>
  <si>
    <t>Property Name</t>
  </si>
  <si>
    <t>&lt;/FriendlyFileName&gt;</t>
  </si>
  <si>
    <t xml:space="preserve">        &lt;FriendlyFileName&gt;</t>
  </si>
  <si>
    <t>&lt;/FileName&gt;</t>
  </si>
  <si>
    <t>default</t>
  </si>
  <si>
    <t>custom1</t>
  </si>
  <si>
    <t xml:space="preserve">        &lt;FileName&gt;</t>
  </si>
  <si>
    <t>File Name=</t>
  </si>
  <si>
    <t>Battery Type</t>
  </si>
  <si>
    <t>Relion 90Ahr</t>
  </si>
  <si>
    <t>Relion90Ahr</t>
  </si>
  <si>
    <t>RoyPowS38105</t>
  </si>
  <si>
    <t>RoyPow S38105</t>
  </si>
  <si>
    <t>RoyPow S5156</t>
  </si>
  <si>
    <t>RoyPow S51105</t>
  </si>
  <si>
    <t>RoyPow S51160</t>
  </si>
  <si>
    <t>Toy Barn 72V</t>
  </si>
  <si>
    <t>Toy Barn 48V</t>
  </si>
  <si>
    <t>ToyBarn48V</t>
  </si>
  <si>
    <t>ToyBarn72V</t>
  </si>
  <si>
    <t>C3 was REPT(" ",42-LEN(H2))&amp;H2</t>
  </si>
  <si>
    <t>RoyPow S72105P</t>
  </si>
  <si>
    <t>RoyPow S51105P</t>
  </si>
  <si>
    <t>RoyPow S51160P</t>
  </si>
  <si>
    <t>Eco48320</t>
  </si>
  <si>
    <t>Eco Battery 48V320Ah</t>
  </si>
  <si>
    <t>BigBatteryBDGR96</t>
  </si>
  <si>
    <t>24V Lead Acid</t>
  </si>
  <si>
    <t>24V_LEAD_ACID</t>
  </si>
  <si>
    <t>BatteryConfigurationProfileNumber</t>
  </si>
  <si>
    <t>BatteryType</t>
  </si>
  <si>
    <t>Eco Battery 51V105Ah</t>
  </si>
  <si>
    <t>Eco Battery 51V72Ah</t>
  </si>
  <si>
    <t>UNO 48V90Ah</t>
  </si>
  <si>
    <t>Dakota 48V135Ah</t>
  </si>
  <si>
    <t>Dakota 48V96Ah</t>
  </si>
  <si>
    <t>Relion30Ah</t>
  </si>
  <si>
    <t>Allied40Ah</t>
  </si>
  <si>
    <t>Allied60Ah</t>
  </si>
  <si>
    <t>Allied80Ah</t>
  </si>
  <si>
    <t>Allied100Ah</t>
  </si>
  <si>
    <t>ExtremeTeam48V100Ah</t>
  </si>
  <si>
    <t>ExtremeTeam48V150Ah</t>
  </si>
  <si>
    <t>ExtremeTeam72V100Ah</t>
  </si>
  <si>
    <t>ExtremeTeam72V150Ah</t>
  </si>
  <si>
    <t>Relion 30Ah</t>
  </si>
  <si>
    <t>Relion 60Ah</t>
  </si>
  <si>
    <t>Relion 90Ah</t>
  </si>
  <si>
    <t>Relion 120Ah</t>
  </si>
  <si>
    <t>Allied 40Ah</t>
  </si>
  <si>
    <t>Allied 60Ah</t>
  </si>
  <si>
    <t>Allied 80Ah</t>
  </si>
  <si>
    <t>Allied 100Ah</t>
  </si>
  <si>
    <t>Allied 120Ah</t>
  </si>
  <si>
    <t>Allied 180Ah</t>
  </si>
  <si>
    <t>ExtremeTeam 48V100Ah</t>
  </si>
  <si>
    <t>ExtremeTeam 48V150Ah</t>
  </si>
  <si>
    <t>ExtremeTeam 72V100Ah</t>
  </si>
  <si>
    <t>ExtremeTeam 72V150Ah</t>
  </si>
  <si>
    <t>Eco Battery 70V105Ah</t>
  </si>
  <si>
    <t>Big Battery BDGR 96Ah</t>
  </si>
  <si>
    <t>Big Battery Eagle 60Ah</t>
  </si>
  <si>
    <t>Big Battery Eagle 90Ah</t>
  </si>
  <si>
    <t>Big Battery Eagle 120Ah</t>
  </si>
  <si>
    <t>Allied 48V 105Ah</t>
  </si>
  <si>
    <t>Eco Battery 51V144Ah</t>
  </si>
  <si>
    <t>Allied 48V 150Ah</t>
  </si>
  <si>
    <t>Samsung Elite</t>
  </si>
  <si>
    <t>CanDataObjectConfig_12_spare2</t>
  </si>
  <si>
    <t>CanDataObjectConfig2_1_ID_low</t>
  </si>
  <si>
    <t>CanDataObjectConfig2_1_pdo_map_low</t>
  </si>
  <si>
    <t>CanDataObjectConfig2_1_pdo_map_high</t>
  </si>
  <si>
    <t>CanDataObjectConfig2_2_ID_low</t>
  </si>
  <si>
    <t>CanDataObjectConfig2_2_ID_high</t>
  </si>
  <si>
    <t>CanDataObjectConfig2_2_pdo_map_low</t>
  </si>
  <si>
    <t>CanDataObjectConfig2_2_pdo_map_high</t>
  </si>
  <si>
    <t>CanDataObjectConfig2_1_ID_high</t>
  </si>
  <si>
    <t>RpdoEndianessMap</t>
  </si>
  <si>
    <t>CAN Network Data Source.  If Bit# = 1 =&gt; Use value from CAN instead of local value.</t>
  </si>
  <si>
    <t>RPDO4 COB-ID (11-bit)</t>
  </si>
  <si>
    <t>RPDO4 PDO Map (low 16-bits)</t>
  </si>
  <si>
    <t>RPDO4 PDO Map (high 16-bits)</t>
  </si>
  <si>
    <t>RPDO5 COB-ID (11-bit)</t>
  </si>
  <si>
    <t>RPDO5 COB-ID (18-bit)</t>
  </si>
  <si>
    <t>RPDO5 PDO Map (low 16-bits)</t>
  </si>
  <si>
    <t>RPDO5 PDO Map (high 16-bits)</t>
  </si>
  <si>
    <t>RPDO4 COB-ID (18-bit)</t>
  </si>
  <si>
    <t>RPDO Endianess Map.  Bit0: RPDO1 ... Bit5: RPDO6. 1=Big, 0=Little.</t>
  </si>
  <si>
    <t>TPDO7_PDO_MAP</t>
  </si>
  <si>
    <t>2000E005</t>
  </si>
  <si>
    <t>4001013F</t>
  </si>
  <si>
    <t>2000E000</t>
  </si>
  <si>
    <t>3E3C0160</t>
  </si>
  <si>
    <t>TPDO7_COB_ID</t>
  </si>
  <si>
    <t>0x22D</t>
  </si>
  <si>
    <t>0x0265026A</t>
  </si>
  <si>
    <t>0x1AD</t>
  </si>
  <si>
    <t>0x03693E68</t>
  </si>
  <si>
    <t>Bolt 51V105Ah</t>
  </si>
  <si>
    <t xml:space="preserve">    &lt;/ParameterFileItemList&gt;</t>
  </si>
  <si>
    <t xml:space="preserve">  &lt;/ParameterFile&gt;</t>
  </si>
  <si>
    <t>Allied 48V 65Ah</t>
  </si>
  <si>
    <t>Allied 48V 200Ah</t>
  </si>
  <si>
    <t>LFP</t>
  </si>
  <si>
    <t>NMC</t>
  </si>
  <si>
    <t>Allied 72V 105Ah</t>
  </si>
  <si>
    <t>&lt;/ParameterFile&gt;</t>
  </si>
  <si>
    <t>Allied14865</t>
  </si>
  <si>
    <t>Allied248105</t>
  </si>
  <si>
    <t>Allied348150</t>
  </si>
  <si>
    <t>Allied448200</t>
  </si>
  <si>
    <t>Allied572105</t>
  </si>
  <si>
    <t>BigBatteryEagle160</t>
  </si>
  <si>
    <t>BigBatteryEagle3120</t>
  </si>
  <si>
    <t>BigBatteryEagle290</t>
  </si>
  <si>
    <t>Dakota248135</t>
  </si>
  <si>
    <t>Relion160Ah</t>
  </si>
  <si>
    <t>Relion290Ah</t>
  </si>
  <si>
    <t>Relion3120Ah</t>
  </si>
  <si>
    <t>Dakota14896</t>
  </si>
  <si>
    <t>Eco15172</t>
  </si>
  <si>
    <t>Eco251105</t>
  </si>
  <si>
    <t>Eco351144</t>
  </si>
  <si>
    <t>Eco470105</t>
  </si>
  <si>
    <t>RoyPow1S5156</t>
  </si>
  <si>
    <t>RoyPow2S51105</t>
  </si>
  <si>
    <t>RoyPow3S51160</t>
  </si>
  <si>
    <t>RoyPow4S51105P</t>
  </si>
  <si>
    <t>RoyPow5S51160P</t>
  </si>
  <si>
    <t>RoyPow6S72105P</t>
  </si>
  <si>
    <t>Bolt151105</t>
  </si>
  <si>
    <t>Bolt251160</t>
  </si>
  <si>
    <t>Bolt372105</t>
  </si>
  <si>
    <t>Bolt 72V 105Ah</t>
  </si>
  <si>
    <t>Bolt 51V 160Ah</t>
  </si>
  <si>
    <t>SamsungElite</t>
  </si>
  <si>
    <t>CanDataObjectConfig3_1_ID_low</t>
  </si>
  <si>
    <t>CanDataObjectConfig3_1_ID_high</t>
  </si>
  <si>
    <t>CanDataObjectConfig3_1_pdo_map_low</t>
  </si>
  <si>
    <t>CanDataObjectConfig3_1_pdo_map_high</t>
  </si>
  <si>
    <t>CanDataObjectConfig3_1_type</t>
  </si>
  <si>
    <t>CanDataObjectConfig3_1_pdoTimer_event_time</t>
  </si>
  <si>
    <t>CanDataObjectConfig2_1_type</t>
  </si>
  <si>
    <t>CanDataObjectConfig2_1_pdoTimer_event_time</t>
  </si>
  <si>
    <t>CanDataObjectConfig2_2_type</t>
  </si>
  <si>
    <t>CanDataObjectConfig2_2_pdoTimer_event_time</t>
  </si>
  <si>
    <t>Eco Battery CAN 51V105Ah</t>
  </si>
  <si>
    <t>Eco551105CAN</t>
  </si>
  <si>
    <t>14s</t>
  </si>
  <si>
    <t>51.8 nominal</t>
  </si>
  <si>
    <t>UNO 48V180Ah</t>
  </si>
  <si>
    <t>200 x 120</t>
  </si>
  <si>
    <t>300 x 3</t>
  </si>
  <si>
    <t>600 x .1</t>
  </si>
  <si>
    <t>Bolt CAN 51V105Ah</t>
  </si>
  <si>
    <t>Bolt451105CAN</t>
  </si>
  <si>
    <t>UNO14890</t>
  </si>
  <si>
    <t>UNO248180</t>
  </si>
  <si>
    <t>LFP Cell</t>
  </si>
  <si>
    <t>NMC Cell</t>
  </si>
  <si>
    <t>Allied648105</t>
  </si>
  <si>
    <t>Allied CAN 48V 105Ah</t>
  </si>
  <si>
    <t>Allied7120Ah</t>
  </si>
  <si>
    <t>Allied8180Ah</t>
  </si>
  <si>
    <t xml:space="preserve">To generate BatteryGroupedParameterFile.xml
Click on button: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</si>
</sst>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4" fillId="3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0" xfId="0" applyAlignment="1">
      <alignment horizontal="center"/>
    </xf>
    <xf numFmtId="0" fontId="2" fillId="2" borderId="0" xfId="1"/>
    <xf numFmtId="0" fontId="4" fillId="3" borderId="0" xfId="2"/>
    <xf numFmtId="11" fontId="0" fillId="0" borderId="0" xfId="0" quotePrefix="1" applyNumberFormat="1"/>
    <xf numFmtId="0" fontId="0" fillId="0" borderId="0" xfId="0" quotePrefix="1"/>
    <xf numFmtId="0" fontId="0" fillId="0" borderId="0" xfId="0" quotePrefix="1" applyAlignment="1">
      <alignment vertical="center"/>
    </xf>
    <xf numFmtId="0" fontId="2" fillId="2" borderId="0" xfId="1" quotePrefix="1"/>
    <xf numFmtId="0" fontId="0" fillId="0" borderId="0" xfId="0" applyAlignment="1">
      <alignment horizontal="left" vertical="top" wrapText="1"/>
    </xf>
  </cellXfs>
  <cellStyles count="3">
    <cellStyle name="Bad" xfId="1" builtinId="27"/>
    <cellStyle name="Good" xfId="2" builtinId="26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C7CE"/>
          <bgColor rgb="FFFFFFF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472440</xdr:rowOff>
        </xdr:from>
        <xdr:to>
          <xdr:col>0</xdr:col>
          <xdr:colOff>2667000</xdr:colOff>
          <xdr:row>0</xdr:row>
          <xdr:rowOff>1181100</xdr:rowOff>
        </xdr:to>
        <xdr:sp macro="" textlink="">
          <xdr:nvSpPr>
            <xdr:cNvPr id="2050" name="Button 2" descr="Generate XM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DB7D3-2843-4FF1-8BB4-1066ED441933}">
  <sheetPr codeName="Sheet5"/>
  <dimension ref="A1:A3"/>
  <sheetViews>
    <sheetView tabSelected="1" workbookViewId="0">
      <selection activeCell="E3" sqref="E3"/>
    </sheetView>
  </sheetViews>
  <sheetFormatPr defaultRowHeight="14.4" x14ac:dyDescent="0.3"/>
  <cols>
    <col min="1" max="1" width="42.5546875" customWidth="1"/>
  </cols>
  <sheetData>
    <row r="1" spans="1:1" ht="123.6" customHeight="1" x14ac:dyDescent="0.3">
      <c r="A1" s="10" t="s">
        <v>210</v>
      </c>
    </row>
    <row r="3" spans="1:1" x14ac:dyDescent="0.3">
      <c r="A3" s="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_xml_file" altText="Generate XML">
                <anchor moveWithCells="1" sizeWithCells="1">
                  <from>
                    <xdr:col>0</xdr:col>
                    <xdr:colOff>190500</xdr:colOff>
                    <xdr:row>0</xdr:row>
                    <xdr:rowOff>472440</xdr:rowOff>
                  </from>
                  <to>
                    <xdr:col>0</xdr:col>
                    <xdr:colOff>2667000</xdr:colOff>
                    <xdr:row>0</xdr:row>
                    <xdr:rowOff>1181100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3DBA3-675C-40E5-9C05-EA8BCB37F135}">
  <sheetPr codeName="Sheet2"/>
  <dimension ref="A1:AAR400"/>
  <sheetViews>
    <sheetView topLeftCell="G1" workbookViewId="0">
      <selection activeCell="O29" sqref="O29"/>
    </sheetView>
  </sheetViews>
  <sheetFormatPr defaultColWidth="0" defaultRowHeight="14.4" zeroHeight="1" x14ac:dyDescent="0.3"/>
  <cols>
    <col min="1" max="1" width="83.44140625" hidden="1" customWidth="1"/>
    <col min="2" max="2" width="61.109375" hidden="1" customWidth="1"/>
    <col min="3" max="3" width="42.6640625" hidden="1" customWidth="1"/>
    <col min="4" max="4" width="17" hidden="1" customWidth="1"/>
    <col min="5" max="6" width="21.21875" hidden="1" customWidth="1"/>
    <col min="7" max="7" width="11.77734375" style="3" bestFit="1" customWidth="1"/>
    <col min="8" max="8" width="45.5546875" bestFit="1" customWidth="1"/>
    <col min="9" max="9" width="10.77734375" hidden="1" customWidth="1"/>
    <col min="10" max="10" width="10.77734375" customWidth="1"/>
    <col min="11" max="12" width="11.88671875" customWidth="1"/>
    <col min="13" max="13" width="11.77734375" customWidth="1"/>
    <col min="14" max="14" width="12.6640625" customWidth="1"/>
    <col min="15" max="16" width="12.33203125" bestFit="1" customWidth="1"/>
    <col min="17" max="18" width="19.44140625" customWidth="1"/>
    <col min="19" max="21" width="14.44140625" customWidth="1"/>
    <col min="22" max="24" width="15.44140625" customWidth="1"/>
    <col min="25" max="26" width="12.44140625" customWidth="1"/>
    <col min="27" max="30" width="22.44140625" customWidth="1"/>
    <col min="31" max="31" width="14.44140625" customWidth="1"/>
    <col min="32" max="32" width="15.44140625" customWidth="1"/>
    <col min="33" max="33" width="15.109375" customWidth="1"/>
    <col min="34" max="34" width="14.33203125" customWidth="1"/>
    <col min="35" max="35" width="19.6640625" customWidth="1"/>
    <col min="36" max="37" width="14.33203125" customWidth="1"/>
    <col min="38" max="38" width="20.44140625" customWidth="1"/>
    <col min="39" max="39" width="21.21875" customWidth="1"/>
    <col min="40" max="40" width="14.44140625" customWidth="1"/>
    <col min="41" max="41" width="12.44140625" customWidth="1"/>
    <col min="42" max="42" width="21.109375" customWidth="1"/>
    <col min="43" max="43" width="21.109375" style="4" customWidth="1"/>
    <col min="44" max="44" width="22.109375" customWidth="1"/>
    <col min="45" max="48" width="16.21875" style="4" customWidth="1"/>
    <col min="49" max="49" width="16.21875" customWidth="1"/>
    <col min="50" max="50" width="15.6640625" customWidth="1"/>
    <col min="51" max="51" width="15.6640625" style="4" customWidth="1"/>
    <col min="52" max="53" width="13" style="4" customWidth="1"/>
    <col min="54" max="54" width="13.44140625" style="4" customWidth="1"/>
    <col min="55" max="56" width="8.88671875" style="4" customWidth="1"/>
    <col min="57" max="57" width="13" style="4" bestFit="1" customWidth="1"/>
    <col min="58" max="58" width="13" style="4" customWidth="1"/>
    <col min="59" max="59" width="14.44140625" style="4" customWidth="1"/>
    <col min="60" max="60" width="11.88671875" customWidth="1"/>
    <col min="61" max="79" width="8.88671875" customWidth="1"/>
    <col min="80" max="80" width="14.5546875" customWidth="1"/>
    <col min="81" max="715" width="8.88671875" customWidth="1"/>
    <col min="716" max="716" width="13.88671875" customWidth="1"/>
    <col min="717" max="720" width="0" hidden="1" customWidth="1"/>
    <col min="721" max="16384" width="8.88671875" hidden="1"/>
  </cols>
  <sheetData>
    <row r="1" spans="1:80" x14ac:dyDescent="0.3">
      <c r="A1" t="str">
        <f>B1</f>
        <v xml:space="preserve">    &lt;ParameterFile&gt;</v>
      </c>
      <c r="B1" t="s">
        <v>29</v>
      </c>
      <c r="C1" t="s">
        <v>66</v>
      </c>
      <c r="G1" s="3" t="s">
        <v>54</v>
      </c>
      <c r="H1">
        <v>0</v>
      </c>
      <c r="I1">
        <v>0</v>
      </c>
      <c r="J1">
        <f t="shared" ref="J1:AO1" si="0">I1+1</f>
        <v>1</v>
      </c>
      <c r="K1">
        <f t="shared" si="0"/>
        <v>2</v>
      </c>
      <c r="L1">
        <f t="shared" si="0"/>
        <v>3</v>
      </c>
      <c r="M1">
        <f t="shared" si="0"/>
        <v>4</v>
      </c>
      <c r="N1">
        <f t="shared" si="0"/>
        <v>5</v>
      </c>
      <c r="O1">
        <f t="shared" si="0"/>
        <v>6</v>
      </c>
      <c r="P1">
        <f t="shared" si="0"/>
        <v>7</v>
      </c>
      <c r="Q1">
        <f t="shared" si="0"/>
        <v>8</v>
      </c>
      <c r="R1">
        <f t="shared" si="0"/>
        <v>9</v>
      </c>
      <c r="S1">
        <f t="shared" si="0"/>
        <v>10</v>
      </c>
      <c r="T1">
        <f t="shared" si="0"/>
        <v>11</v>
      </c>
      <c r="U1">
        <f t="shared" si="0"/>
        <v>12</v>
      </c>
      <c r="V1">
        <f t="shared" si="0"/>
        <v>13</v>
      </c>
      <c r="W1">
        <f t="shared" si="0"/>
        <v>14</v>
      </c>
      <c r="X1">
        <f t="shared" si="0"/>
        <v>15</v>
      </c>
      <c r="Y1">
        <f t="shared" si="0"/>
        <v>16</v>
      </c>
      <c r="Z1">
        <f t="shared" si="0"/>
        <v>17</v>
      </c>
      <c r="AA1">
        <f t="shared" si="0"/>
        <v>18</v>
      </c>
      <c r="AB1">
        <f t="shared" si="0"/>
        <v>19</v>
      </c>
      <c r="AC1">
        <f t="shared" si="0"/>
        <v>20</v>
      </c>
      <c r="AD1">
        <f t="shared" si="0"/>
        <v>21</v>
      </c>
      <c r="AE1">
        <f t="shared" si="0"/>
        <v>22</v>
      </c>
      <c r="AF1">
        <f t="shared" si="0"/>
        <v>23</v>
      </c>
      <c r="AG1">
        <f t="shared" si="0"/>
        <v>24</v>
      </c>
      <c r="AH1">
        <f t="shared" si="0"/>
        <v>25</v>
      </c>
      <c r="AI1">
        <f t="shared" si="0"/>
        <v>26</v>
      </c>
      <c r="AJ1">
        <f t="shared" si="0"/>
        <v>27</v>
      </c>
      <c r="AK1">
        <f t="shared" si="0"/>
        <v>28</v>
      </c>
      <c r="AL1">
        <f t="shared" si="0"/>
        <v>29</v>
      </c>
      <c r="AM1">
        <f t="shared" si="0"/>
        <v>30</v>
      </c>
      <c r="AN1">
        <f t="shared" si="0"/>
        <v>31</v>
      </c>
      <c r="AO1">
        <f t="shared" si="0"/>
        <v>32</v>
      </c>
      <c r="AP1">
        <f t="shared" ref="AP1:BG1" si="1">AO1+1</f>
        <v>33</v>
      </c>
      <c r="AQ1">
        <f t="shared" si="1"/>
        <v>34</v>
      </c>
      <c r="AR1">
        <f t="shared" si="1"/>
        <v>35</v>
      </c>
      <c r="AS1">
        <f t="shared" si="1"/>
        <v>36</v>
      </c>
      <c r="AT1" s="4">
        <f t="shared" si="1"/>
        <v>37</v>
      </c>
      <c r="AU1" s="4">
        <f t="shared" si="1"/>
        <v>38</v>
      </c>
      <c r="AV1" s="4">
        <f t="shared" si="1"/>
        <v>39</v>
      </c>
      <c r="AW1" s="4">
        <f t="shared" si="1"/>
        <v>40</v>
      </c>
      <c r="AX1" s="4">
        <f t="shared" si="1"/>
        <v>41</v>
      </c>
      <c r="AY1" s="4">
        <f t="shared" si="1"/>
        <v>42</v>
      </c>
      <c r="AZ1" s="4">
        <f t="shared" si="1"/>
        <v>43</v>
      </c>
      <c r="BA1" s="4">
        <f t="shared" si="1"/>
        <v>44</v>
      </c>
      <c r="BB1" s="4">
        <f t="shared" si="1"/>
        <v>45</v>
      </c>
      <c r="BC1" s="4">
        <f t="shared" si="1"/>
        <v>46</v>
      </c>
      <c r="BD1" s="4">
        <f t="shared" si="1"/>
        <v>47</v>
      </c>
      <c r="BE1" s="4">
        <f t="shared" si="1"/>
        <v>48</v>
      </c>
      <c r="BF1" s="4">
        <f t="shared" si="1"/>
        <v>49</v>
      </c>
      <c r="BG1" s="4">
        <f t="shared" si="1"/>
        <v>50</v>
      </c>
      <c r="BH1" s="4">
        <f t="shared" ref="BH1" si="2">BG1+1</f>
        <v>51</v>
      </c>
      <c r="BI1" s="4"/>
      <c r="BJ1" s="4"/>
      <c r="BK1" s="4"/>
      <c r="CB1">
        <f>$H$1</f>
        <v>0</v>
      </c>
    </row>
    <row r="2" spans="1:80" x14ac:dyDescent="0.3">
      <c r="A2" t="str">
        <f>CONCATENATE(B2,C2,D2)</f>
        <v xml:space="preserve">        &lt;FileName&gt;default&lt;/FileName&gt;</v>
      </c>
      <c r="B2" t="s">
        <v>52</v>
      </c>
      <c r="C2" t="str">
        <f>HLOOKUP(H1,I1:AAN2,2)</f>
        <v>default</v>
      </c>
      <c r="D2" t="s">
        <v>49</v>
      </c>
      <c r="G2" s="3" t="s">
        <v>53</v>
      </c>
      <c r="H2" t="str">
        <f>HLOOKUP(H1,I1:BO3,3)</f>
        <v>Lead Acid</v>
      </c>
      <c r="I2" t="s">
        <v>50</v>
      </c>
      <c r="J2" t="s">
        <v>153</v>
      </c>
      <c r="K2" t="s">
        <v>154</v>
      </c>
      <c r="L2" t="s">
        <v>155</v>
      </c>
      <c r="M2" t="s">
        <v>156</v>
      </c>
      <c r="N2" t="s">
        <v>157</v>
      </c>
      <c r="O2" t="s">
        <v>206</v>
      </c>
      <c r="P2" t="s">
        <v>208</v>
      </c>
      <c r="Q2" t="s">
        <v>209</v>
      </c>
      <c r="R2" t="s">
        <v>72</v>
      </c>
      <c r="S2" t="s">
        <v>158</v>
      </c>
      <c r="T2" t="s">
        <v>160</v>
      </c>
      <c r="U2" t="s">
        <v>159</v>
      </c>
      <c r="V2" t="s">
        <v>176</v>
      </c>
      <c r="W2" t="s">
        <v>177</v>
      </c>
      <c r="X2" t="s">
        <v>178</v>
      </c>
      <c r="Y2" t="s">
        <v>201</v>
      </c>
      <c r="Z2" t="s">
        <v>165</v>
      </c>
      <c r="AA2" t="s">
        <v>161</v>
      </c>
      <c r="AB2" t="s">
        <v>166</v>
      </c>
      <c r="AC2" t="s">
        <v>167</v>
      </c>
      <c r="AD2" t="s">
        <v>168</v>
      </c>
      <c r="AE2" t="s">
        <v>169</v>
      </c>
      <c r="AF2" t="s">
        <v>193</v>
      </c>
      <c r="AG2" t="s">
        <v>87</v>
      </c>
      <c r="AH2" t="s">
        <v>88</v>
      </c>
      <c r="AI2" t="s">
        <v>89</v>
      </c>
      <c r="AJ2" t="s">
        <v>90</v>
      </c>
      <c r="AK2" t="s">
        <v>162</v>
      </c>
      <c r="AL2" t="s">
        <v>163</v>
      </c>
      <c r="AM2" t="s">
        <v>164</v>
      </c>
      <c r="AN2" t="s">
        <v>170</v>
      </c>
      <c r="AO2" t="s">
        <v>171</v>
      </c>
      <c r="AP2" t="s">
        <v>172</v>
      </c>
      <c r="AQ2" t="s">
        <v>173</v>
      </c>
      <c r="AR2" t="s">
        <v>174</v>
      </c>
      <c r="AS2" t="s">
        <v>175</v>
      </c>
      <c r="AT2" s="4" t="s">
        <v>74</v>
      </c>
      <c r="AU2" s="4" t="s">
        <v>86</v>
      </c>
      <c r="AV2" s="4" t="s">
        <v>83</v>
      </c>
      <c r="AW2" s="4" t="s">
        <v>84</v>
      </c>
      <c r="AX2" s="4" t="s">
        <v>85</v>
      </c>
      <c r="AY2" s="4" t="s">
        <v>51</v>
      </c>
      <c r="AZ2" s="4" t="s">
        <v>70</v>
      </c>
      <c r="BA2" s="4" t="s">
        <v>82</v>
      </c>
      <c r="BB2" s="4" t="s">
        <v>57</v>
      </c>
      <c r="BC2" s="4" t="s">
        <v>181</v>
      </c>
      <c r="BD2" s="4" t="s">
        <v>64</v>
      </c>
      <c r="BE2" s="4" t="s">
        <v>65</v>
      </c>
      <c r="BF2" s="4" t="s">
        <v>202</v>
      </c>
      <c r="BG2" t="s">
        <v>203</v>
      </c>
      <c r="BH2" s="4"/>
      <c r="CB2" t="str">
        <f>$C$2</f>
        <v>default</v>
      </c>
    </row>
    <row r="3" spans="1:80" x14ac:dyDescent="0.3">
      <c r="A3" t="str">
        <f>CONCATENATE(B3,C3,D3)</f>
        <v xml:space="preserve">        &lt;FriendlyFileName&gt;Lead Acid&lt;/FriendlyFileName&gt;</v>
      </c>
      <c r="B3" t="s">
        <v>48</v>
      </c>
      <c r="C3" t="str">
        <f>H2</f>
        <v>Lead Acid</v>
      </c>
      <c r="D3" t="s">
        <v>47</v>
      </c>
      <c r="G3" s="3" t="s">
        <v>38</v>
      </c>
      <c r="H3" t="s">
        <v>46</v>
      </c>
      <c r="I3" t="s">
        <v>36</v>
      </c>
      <c r="J3" t="s">
        <v>147</v>
      </c>
      <c r="K3" t="s">
        <v>110</v>
      </c>
      <c r="L3" t="s">
        <v>112</v>
      </c>
      <c r="M3" t="s">
        <v>148</v>
      </c>
      <c r="N3" t="s">
        <v>151</v>
      </c>
      <c r="O3" t="s">
        <v>207</v>
      </c>
      <c r="P3" t="s">
        <v>99</v>
      </c>
      <c r="Q3" t="s">
        <v>100</v>
      </c>
      <c r="R3" t="s">
        <v>106</v>
      </c>
      <c r="S3" t="s">
        <v>107</v>
      </c>
      <c r="T3" t="s">
        <v>108</v>
      </c>
      <c r="U3" t="s">
        <v>109</v>
      </c>
      <c r="V3" t="s">
        <v>144</v>
      </c>
      <c r="W3" t="s">
        <v>180</v>
      </c>
      <c r="X3" t="s">
        <v>179</v>
      </c>
      <c r="Y3" t="s">
        <v>200</v>
      </c>
      <c r="Z3" t="s">
        <v>81</v>
      </c>
      <c r="AA3" t="s">
        <v>80</v>
      </c>
      <c r="AB3" t="s">
        <v>78</v>
      </c>
      <c r="AC3" t="s">
        <v>77</v>
      </c>
      <c r="AD3" t="s">
        <v>111</v>
      </c>
      <c r="AE3" t="s">
        <v>105</v>
      </c>
      <c r="AF3" t="s">
        <v>192</v>
      </c>
      <c r="AG3" t="s">
        <v>101</v>
      </c>
      <c r="AH3" t="s">
        <v>102</v>
      </c>
      <c r="AI3" t="s">
        <v>103</v>
      </c>
      <c r="AJ3" t="s">
        <v>104</v>
      </c>
      <c r="AK3" t="s">
        <v>92</v>
      </c>
      <c r="AL3" t="s">
        <v>93</v>
      </c>
      <c r="AM3" t="s">
        <v>94</v>
      </c>
      <c r="AN3" t="s">
        <v>59</v>
      </c>
      <c r="AO3" t="s">
        <v>60</v>
      </c>
      <c r="AP3" t="s">
        <v>61</v>
      </c>
      <c r="AQ3" t="s">
        <v>68</v>
      </c>
      <c r="AR3" t="s">
        <v>69</v>
      </c>
      <c r="AS3" t="s">
        <v>67</v>
      </c>
      <c r="AT3" s="4" t="s">
        <v>73</v>
      </c>
      <c r="AU3" s="4" t="s">
        <v>98</v>
      </c>
      <c r="AV3" s="4" t="s">
        <v>95</v>
      </c>
      <c r="AW3" s="4" t="s">
        <v>96</v>
      </c>
      <c r="AX3" s="4" t="s">
        <v>97</v>
      </c>
      <c r="AY3" s="4" t="s">
        <v>37</v>
      </c>
      <c r="AZ3" s="4" t="s">
        <v>71</v>
      </c>
      <c r="BA3" s="4" t="s">
        <v>91</v>
      </c>
      <c r="BB3" s="4" t="s">
        <v>58</v>
      </c>
      <c r="BC3" s="4" t="s">
        <v>113</v>
      </c>
      <c r="BD3" s="4" t="s">
        <v>63</v>
      </c>
      <c r="BE3" s="4" t="s">
        <v>62</v>
      </c>
      <c r="BF3" s="4" t="s">
        <v>79</v>
      </c>
      <c r="BG3" t="s">
        <v>196</v>
      </c>
      <c r="BH3" s="4"/>
      <c r="BJ3" s="4" t="s">
        <v>195</v>
      </c>
      <c r="CB3" t="str">
        <f>$C$3</f>
        <v>Lead Acid</v>
      </c>
    </row>
    <row r="4" spans="1:80" x14ac:dyDescent="0.3">
      <c r="A4" t="str">
        <f t="shared" ref="A4:A65" si="3">CONCATENATE(B4,C4,D4)</f>
        <v xml:space="preserve">        &lt;ParameterFileItemList&gt;</v>
      </c>
      <c r="B4" t="s">
        <v>30</v>
      </c>
      <c r="F4">
        <v>1</v>
      </c>
      <c r="G4" s="3">
        <v>43</v>
      </c>
      <c r="H4" t="s">
        <v>11</v>
      </c>
      <c r="I4">
        <v>200</v>
      </c>
      <c r="J4">
        <v>500</v>
      </c>
      <c r="K4">
        <v>500</v>
      </c>
      <c r="L4">
        <v>600</v>
      </c>
      <c r="M4">
        <v>600</v>
      </c>
      <c r="N4">
        <v>500</v>
      </c>
      <c r="O4">
        <v>500</v>
      </c>
      <c r="P4">
        <v>240</v>
      </c>
      <c r="Q4">
        <v>360</v>
      </c>
      <c r="R4">
        <v>252</v>
      </c>
      <c r="S4">
        <v>180</v>
      </c>
      <c r="T4">
        <v>200</v>
      </c>
      <c r="U4">
        <v>200</v>
      </c>
      <c r="V4">
        <v>520</v>
      </c>
      <c r="W4">
        <v>520</v>
      </c>
      <c r="X4">
        <v>520</v>
      </c>
      <c r="Y4">
        <v>520</v>
      </c>
      <c r="Z4">
        <v>200</v>
      </c>
      <c r="AA4">
        <v>250</v>
      </c>
      <c r="AB4">
        <v>200</v>
      </c>
      <c r="AC4">
        <v>200</v>
      </c>
      <c r="AD4">
        <v>200</v>
      </c>
      <c r="AE4">
        <v>200</v>
      </c>
      <c r="AF4">
        <v>200</v>
      </c>
      <c r="AG4">
        <v>350</v>
      </c>
      <c r="AH4">
        <v>350</v>
      </c>
      <c r="AI4">
        <v>350</v>
      </c>
      <c r="AJ4">
        <v>350</v>
      </c>
      <c r="AK4">
        <v>200</v>
      </c>
      <c r="AL4">
        <v>200</v>
      </c>
      <c r="AM4">
        <v>200</v>
      </c>
      <c r="AN4">
        <v>200</v>
      </c>
      <c r="AO4">
        <v>200</v>
      </c>
      <c r="AP4">
        <v>200</v>
      </c>
      <c r="AQ4">
        <v>315</v>
      </c>
      <c r="AR4">
        <v>315</v>
      </c>
      <c r="AS4">
        <v>315</v>
      </c>
      <c r="AT4" s="4">
        <v>200</v>
      </c>
      <c r="AU4" s="4">
        <v>300</v>
      </c>
      <c r="AV4" s="4">
        <v>80</v>
      </c>
      <c r="AW4" s="4">
        <v>200</v>
      </c>
      <c r="AX4" s="4">
        <v>250</v>
      </c>
      <c r="AY4" s="4">
        <v>300</v>
      </c>
      <c r="AZ4" s="4">
        <v>300</v>
      </c>
      <c r="BA4" s="4">
        <v>200</v>
      </c>
      <c r="BB4" s="4">
        <v>200</v>
      </c>
      <c r="BC4" s="4">
        <v>180</v>
      </c>
      <c r="BD4" s="4">
        <v>350</v>
      </c>
      <c r="BE4" s="4">
        <v>175</v>
      </c>
      <c r="BF4" s="4">
        <v>200</v>
      </c>
      <c r="BG4">
        <v>200</v>
      </c>
      <c r="BH4" s="4"/>
      <c r="CB4">
        <f>$C$9</f>
        <v>200</v>
      </c>
    </row>
    <row r="5" spans="1:80" x14ac:dyDescent="0.3">
      <c r="A5" t="str">
        <f t="shared" si="3"/>
        <v xml:space="preserve">            &lt;ParameterFileItem&gt;</v>
      </c>
      <c r="B5" t="s">
        <v>31</v>
      </c>
      <c r="F5">
        <v>2</v>
      </c>
      <c r="G5" s="3">
        <v>597</v>
      </c>
      <c r="H5" t="s">
        <v>75</v>
      </c>
      <c r="I5">
        <v>0</v>
      </c>
      <c r="J5">
        <v>30</v>
      </c>
      <c r="K5">
        <v>27</v>
      </c>
      <c r="L5">
        <v>28</v>
      </c>
      <c r="M5">
        <v>29</v>
      </c>
      <c r="N5">
        <v>31</v>
      </c>
      <c r="O5">
        <v>27</v>
      </c>
      <c r="P5">
        <v>1</v>
      </c>
      <c r="Q5">
        <v>2</v>
      </c>
      <c r="R5">
        <v>3</v>
      </c>
      <c r="S5">
        <v>23</v>
      </c>
      <c r="T5">
        <v>24</v>
      </c>
      <c r="U5">
        <v>25</v>
      </c>
      <c r="V5">
        <v>35</v>
      </c>
      <c r="W5">
        <v>36</v>
      </c>
      <c r="X5">
        <v>37</v>
      </c>
      <c r="Y5">
        <v>35</v>
      </c>
      <c r="Z5">
        <v>33</v>
      </c>
      <c r="AA5">
        <v>32</v>
      </c>
      <c r="AB5">
        <v>4</v>
      </c>
      <c r="AC5">
        <v>5</v>
      </c>
      <c r="AD5">
        <v>6</v>
      </c>
      <c r="AE5">
        <v>34</v>
      </c>
      <c r="AF5">
        <v>5</v>
      </c>
      <c r="AG5">
        <v>7</v>
      </c>
      <c r="AH5">
        <v>8</v>
      </c>
      <c r="AI5">
        <v>9</v>
      </c>
      <c r="AJ5">
        <v>10</v>
      </c>
      <c r="AK5">
        <v>12</v>
      </c>
      <c r="AL5">
        <v>13</v>
      </c>
      <c r="AM5">
        <v>14</v>
      </c>
      <c r="AN5">
        <v>16</v>
      </c>
      <c r="AO5">
        <v>17</v>
      </c>
      <c r="AP5">
        <v>19</v>
      </c>
      <c r="AQ5">
        <v>18</v>
      </c>
      <c r="AR5">
        <v>20</v>
      </c>
      <c r="AS5">
        <v>21</v>
      </c>
      <c r="AW5" s="4"/>
      <c r="AX5" s="4"/>
      <c r="AZ5" s="4">
        <v>26</v>
      </c>
      <c r="BA5" s="4">
        <v>11</v>
      </c>
      <c r="BB5" s="4">
        <v>15</v>
      </c>
      <c r="BC5" s="4">
        <v>22</v>
      </c>
      <c r="BF5" s="4">
        <v>38</v>
      </c>
      <c r="BG5">
        <v>38</v>
      </c>
      <c r="BH5" s="4"/>
      <c r="CB5">
        <f>$C$15</f>
        <v>0</v>
      </c>
    </row>
    <row r="6" spans="1:80" x14ac:dyDescent="0.3">
      <c r="A6" t="str">
        <f t="shared" si="3"/>
        <v xml:space="preserve">                &lt;ViewType&gt;ReadOnly&lt;/ViewType&gt;</v>
      </c>
      <c r="B6" t="s">
        <v>32</v>
      </c>
      <c r="F6">
        <v>3</v>
      </c>
      <c r="G6" s="3">
        <v>265</v>
      </c>
      <c r="H6" t="s">
        <v>76</v>
      </c>
      <c r="I6">
        <v>1</v>
      </c>
      <c r="J6">
        <v>2</v>
      </c>
      <c r="K6">
        <v>2</v>
      </c>
      <c r="L6">
        <v>2</v>
      </c>
      <c r="M6">
        <v>2</v>
      </c>
      <c r="N6">
        <v>2</v>
      </c>
      <c r="O6">
        <v>2</v>
      </c>
      <c r="P6">
        <v>2</v>
      </c>
      <c r="Q6">
        <v>2</v>
      </c>
      <c r="R6">
        <v>3</v>
      </c>
      <c r="S6">
        <v>2</v>
      </c>
      <c r="T6">
        <v>2</v>
      </c>
      <c r="U6">
        <v>2</v>
      </c>
      <c r="V6">
        <v>2</v>
      </c>
      <c r="W6">
        <v>2</v>
      </c>
      <c r="X6">
        <v>2</v>
      </c>
      <c r="Y6">
        <v>2</v>
      </c>
      <c r="Z6">
        <v>2</v>
      </c>
      <c r="AA6">
        <v>2</v>
      </c>
      <c r="AB6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>
        <v>2</v>
      </c>
      <c r="AM6">
        <v>2</v>
      </c>
      <c r="AN6">
        <v>2</v>
      </c>
      <c r="AO6">
        <v>2</v>
      </c>
      <c r="AP6">
        <v>2</v>
      </c>
      <c r="AQ6">
        <v>2</v>
      </c>
      <c r="AR6">
        <v>2</v>
      </c>
      <c r="AS6">
        <v>2</v>
      </c>
      <c r="AU6" s="4">
        <v>2</v>
      </c>
      <c r="AV6" s="4">
        <v>2</v>
      </c>
      <c r="AW6" s="4">
        <v>2</v>
      </c>
      <c r="AX6" s="4">
        <v>2</v>
      </c>
      <c r="AZ6" s="4">
        <v>2</v>
      </c>
      <c r="BA6" s="4">
        <v>2</v>
      </c>
      <c r="BB6" s="4">
        <v>2</v>
      </c>
      <c r="BC6" s="4">
        <v>2</v>
      </c>
      <c r="BF6" s="4">
        <v>3</v>
      </c>
      <c r="BG6">
        <v>3</v>
      </c>
      <c r="BH6" s="4">
        <v>0</v>
      </c>
      <c r="BI6" t="s">
        <v>194</v>
      </c>
      <c r="CB6">
        <f>$C$21</f>
        <v>1</v>
      </c>
    </row>
    <row r="7" spans="1:80" x14ac:dyDescent="0.3">
      <c r="A7" t="str">
        <f t="shared" si="3"/>
        <v xml:space="preserve">                &lt;Address&gt;43&lt;/Address&gt;</v>
      </c>
      <c r="B7" t="s">
        <v>40</v>
      </c>
      <c r="C7">
        <f>VLOOKUP(E7,$F$4:$G$37,2)</f>
        <v>43</v>
      </c>
      <c r="D7" t="s">
        <v>39</v>
      </c>
      <c r="E7">
        <v>1</v>
      </c>
      <c r="F7">
        <v>4</v>
      </c>
      <c r="G7" s="3">
        <v>177</v>
      </c>
      <c r="H7" t="s">
        <v>1</v>
      </c>
      <c r="I7">
        <f>IF(I$6=1,'Default Battery Chemistry'!$B3,IF(I$6=2,'Default Battery Chemistry'!$C3,IF(I$6=3,'Default Battery Chemistry'!$D3,"unknown")))</f>
        <v>48</v>
      </c>
      <c r="J7">
        <v>51.1953125</v>
      </c>
      <c r="K7">
        <v>51.1953125</v>
      </c>
      <c r="L7">
        <v>51.1953125</v>
      </c>
      <c r="M7">
        <v>51.1953125</v>
      </c>
      <c r="N7">
        <v>76.789060000000006</v>
      </c>
      <c r="O7">
        <v>51.1953125</v>
      </c>
      <c r="P7">
        <v>51.1953125</v>
      </c>
      <c r="Q7">
        <v>51.1953125</v>
      </c>
      <c r="R7">
        <f>IF(R$6=1,'Default Battery Chemistry'!$B3,IF(R$6=2,'Default Battery Chemistry'!$C3,IF(R$6=3,'Default Battery Chemistry'!$D3,"unknown")))</f>
        <v>43.1953125</v>
      </c>
      <c r="S7">
        <f>IF(S$6=1,'Default Battery Chemistry'!$B3,IF(S$6=2,'Default Battery Chemistry'!$C3,IF(S$6=3,'Default Battery Chemistry'!$D3,"unknown")))</f>
        <v>51.1953125</v>
      </c>
      <c r="T7">
        <f>IF(T$6=1,'Default Battery Chemistry'!$B3,IF(T$6=2,'Default Battery Chemistry'!$C3,IF(T$6=3,'Default Battery Chemistry'!$D3,"unknown")))</f>
        <v>51.1953125</v>
      </c>
      <c r="U7">
        <f>IF(U$6=1,'Default Battery Chemistry'!$B3,IF(U$6=2,'Default Battery Chemistry'!$C3,IF(U$6=3,'Default Battery Chemistry'!$D3,"unknown")))</f>
        <v>51.1953125</v>
      </c>
      <c r="V7">
        <f>IF(V$6=1,'Default Battery Chemistry'!$B3,IF(V$6=2,'Default Battery Chemistry'!$C3,IF(V$6=3,'Default Battery Chemistry'!$D3,"unknown")))</f>
        <v>51.1953125</v>
      </c>
      <c r="W7">
        <f t="shared" ref="W7:W22" si="4">IF(W$6=1,$I7,IF(W$6=2,$AI7,IF(W$6=3,$AM7,"unknown")))</f>
        <v>76.789060000000006</v>
      </c>
      <c r="X7">
        <f>73.58594</f>
        <v>73.585939999999994</v>
      </c>
      <c r="Y7">
        <f>IF(Y$6=1,'Default Battery Chemistry'!$B3,IF(Y$6=2,'Default Battery Chemistry'!$C3,IF(Y$6=3,'Default Battery Chemistry'!$D3,"unknown")))</f>
        <v>51.1953125</v>
      </c>
      <c r="Z7">
        <f>IF(Z$6=1,'Default Battery Chemistry'!$B3,IF(Z$6=2,'Default Battery Chemistry'!$C3,IF(Z$6=3,'Default Battery Chemistry'!$D3,"unknown")))</f>
        <v>51.1953125</v>
      </c>
      <c r="AA7">
        <f>IF(AA$6=1,'Default Battery Chemistry'!$B3,IF(AA$6=2,'Default Battery Chemistry'!$C3,IF(AA$6=3,'Default Battery Chemistry'!$D3,"unknown")))</f>
        <v>51.1953125</v>
      </c>
      <c r="AB7">
        <f>IF(AB$6=1,'Default Battery Chemistry'!$B3,IF(AB$6=2,'Default Battery Chemistry'!$C3,IF(AB$6=3,'Default Battery Chemistry'!$D3,"unknown")))</f>
        <v>51.1953125</v>
      </c>
      <c r="AC7">
        <f>IF(AC$6=1,'Default Battery Chemistry'!$B3,IF(AC$6=2,'Default Battery Chemistry'!$C3,IF(AC$6=3,'Default Battery Chemistry'!$D3,"unknown")))</f>
        <v>51.1953125</v>
      </c>
      <c r="AD7">
        <f>IF(AD$6=1,'Default Battery Chemistry'!$B3,IF(AD$6=2,'Default Battery Chemistry'!$C3,IF(AD$6=3,'Default Battery Chemistry'!$D3,"unknown")))</f>
        <v>51.1953125</v>
      </c>
      <c r="AE7">
        <v>70.398439999999994</v>
      </c>
      <c r="AF7">
        <f>IF(AF$6=1,'Default Battery Chemistry'!$B3,IF(AF$6=2,'Default Battery Chemistry'!$C3,IF(AF$6=3,'Default Battery Chemistry'!$D3,"unknown")))</f>
        <v>51.1953125</v>
      </c>
      <c r="AG7">
        <v>51.1953125</v>
      </c>
      <c r="AH7">
        <v>51.1953125</v>
      </c>
      <c r="AI7">
        <v>76.789060000000006</v>
      </c>
      <c r="AJ7">
        <v>76.789060000000006</v>
      </c>
      <c r="AK7">
        <f>IF(AK$6=1,'Default Battery Chemistry'!$B3,IF(AK$6=2,'Default Battery Chemistry'!$C3,IF(AK$6=3,'Default Battery Chemistry'!$D3,"unknown")))</f>
        <v>51.1953125</v>
      </c>
      <c r="AL7">
        <f>IF(AL$6=1,'Default Battery Chemistry'!$B3,IF(AL$6=2,'Default Battery Chemistry'!$C3,IF(AL$6=3,'Default Battery Chemistry'!$D3,"unknown")))</f>
        <v>51.1953125</v>
      </c>
      <c r="AM7">
        <f>IF(AM$6=1,'Default Battery Chemistry'!$B3,IF(AM$6=2,'Default Battery Chemistry'!$C3,IF(AM$6=3,'Default Battery Chemistry'!$D3,"unknown")))</f>
        <v>51.1953125</v>
      </c>
      <c r="AN7">
        <f>IF(AN$6=1,'Default Battery Chemistry'!$B3,IF(AN$6=2,'Default Battery Chemistry'!$C3,IF(AN$6=3,'Default Battery Chemistry'!$D3,"unknown")))</f>
        <v>51.1953125</v>
      </c>
      <c r="AO7">
        <f>IF(AO$6=1,'Default Battery Chemistry'!$B3,IF(AO$6=2,'Default Battery Chemistry'!$C3,IF(AO$6=3,'Default Battery Chemistry'!$D3,"unknown")))</f>
        <v>51.1953125</v>
      </c>
      <c r="AP7">
        <f>IF(AP$6=1,'Default Battery Chemistry'!$B3,IF(AP$6=2,'Default Battery Chemistry'!$C3,IF(AP$6=3,'Default Battery Chemistry'!$D3,"unknown")))</f>
        <v>51.1953125</v>
      </c>
      <c r="AQ7">
        <f>IF(AQ$6=1,'Default Battery Chemistry'!$B3,IF(AQ$6=2,'Default Battery Chemistry'!$C3,IF(AQ$6=3,'Default Battery Chemistry'!$D3,"unknown")))</f>
        <v>51.1953125</v>
      </c>
      <c r="AR7">
        <f>IF(AR$6=1,'Default Battery Chemistry'!$B3,IF(AR$6=2,'Default Battery Chemistry'!$C3,IF(AR$6=3,'Default Battery Chemistry'!$D3,"unknown")))</f>
        <v>51.1953125</v>
      </c>
      <c r="AS7">
        <v>76.789060000000006</v>
      </c>
      <c r="AT7" s="4">
        <v>24</v>
      </c>
      <c r="AU7" s="4">
        <f>IF(AU$6=1,'Default Battery Chemistry'!$B3,IF(AU$6=2,'Default Battery Chemistry'!$C3,IF(AU$6=3,'Default Battery Chemistry'!$D3,"unknown")))</f>
        <v>51.1953125</v>
      </c>
      <c r="AV7" s="4">
        <f>IF(AV$6=1,'Default Battery Chemistry'!$B3,IF(AV$6=2,'Default Battery Chemistry'!$C3,IF(AV$6=3,'Default Battery Chemistry'!$D3,"unknown")))</f>
        <v>51.1953125</v>
      </c>
      <c r="AW7" s="4">
        <f>IF(AW$6=1,'Default Battery Chemistry'!$B3,IF(AW$6=2,'Default Battery Chemistry'!$C3,IF(AW$6=3,'Default Battery Chemistry'!$D3,"unknown")))</f>
        <v>51.1953125</v>
      </c>
      <c r="AX7" s="4">
        <f>IF(AX$6=1,'Default Battery Chemistry'!$B3,IF(AX$6=2,'Default Battery Chemistry'!$C3,IF(AX$6=3,'Default Battery Chemistry'!$D3,"unknown")))</f>
        <v>51.1953125</v>
      </c>
      <c r="AY7" s="4">
        <v>42.8984375</v>
      </c>
      <c r="AZ7" s="4">
        <f>IF(AZ$6=1,'Default Battery Chemistry'!$B3,IF(AZ$6=2,'Default Battery Chemistry'!$C3,IF(AZ$6=3,'Default Battery Chemistry'!$D3,"unknown")))</f>
        <v>51.1953125</v>
      </c>
      <c r="BA7" s="4">
        <f>IF(BA$6=1,'Default Battery Chemistry'!$B3,IF(BA$6=2,'Default Battery Chemistry'!$C3,IF(BA$6=3,'Default Battery Chemistry'!$D3,"unknown")))</f>
        <v>51.1953125</v>
      </c>
      <c r="BB7" s="4">
        <v>38.4</v>
      </c>
      <c r="BC7" s="4">
        <f>IF(BC$6=1,'Default Battery Chemistry'!$B3,IF(BC$6=2,'Default Battery Chemistry'!$C3,IF(BC$6=3,'Default Battery Chemistry'!$D3,"unknown")))</f>
        <v>51.1953125</v>
      </c>
      <c r="BD7" s="4">
        <v>50.4</v>
      </c>
      <c r="BE7" s="4">
        <v>77.7</v>
      </c>
      <c r="BF7" s="4">
        <v>51.8</v>
      </c>
      <c r="BG7">
        <v>51.8</v>
      </c>
      <c r="BH7" s="4" t="str">
        <f t="shared" ref="BH7:BH22" si="5">IF(BH$6=1,$I7,IF(BH$6=2,$AI7,IF(BH$6=3,$AM7,"unknown")))</f>
        <v>unknown</v>
      </c>
      <c r="BI7">
        <f>12*3.7</f>
        <v>44.400000000000006</v>
      </c>
      <c r="CB7">
        <f>$C$27</f>
        <v>48</v>
      </c>
    </row>
    <row r="8" spans="1:80" x14ac:dyDescent="0.3">
      <c r="A8" t="str">
        <f t="shared" si="3"/>
        <v xml:space="preserve">                &lt;PropertyName&gt;IBATLIMIT&lt;/PropertyName&gt;</v>
      </c>
      <c r="B8" t="s">
        <v>41</v>
      </c>
      <c r="C8" t="str">
        <f>VLOOKUP(C7,$G$4:$H$37,2,FALSE)</f>
        <v>IBATLIMIT</v>
      </c>
      <c r="D8" t="s">
        <v>42</v>
      </c>
      <c r="F8">
        <v>5</v>
      </c>
      <c r="G8" s="3">
        <v>241</v>
      </c>
      <c r="H8" t="s">
        <v>45</v>
      </c>
      <c r="I8">
        <f>IF(I$6=1,'Default Battery Chemistry'!$B4,IF(I$6=2,'Default Battery Chemistry'!$C4,IF(I$6=3,'Default Battery Chemistry'!$D4,"unknown")))</f>
        <v>18</v>
      </c>
      <c r="J8">
        <v>42</v>
      </c>
      <c r="K8">
        <v>42</v>
      </c>
      <c r="L8">
        <v>42</v>
      </c>
      <c r="M8">
        <v>42</v>
      </c>
      <c r="N8">
        <v>42</v>
      </c>
      <c r="O8">
        <v>42</v>
      </c>
      <c r="P8">
        <v>42</v>
      </c>
      <c r="Q8">
        <v>42</v>
      </c>
      <c r="R8">
        <v>41</v>
      </c>
      <c r="S8">
        <f>IF(S$6=1,'Default Battery Chemistry'!$B4,IF(S$6=2,'Default Battery Chemistry'!$C4,IF(S$6=3,'Default Battery Chemistry'!$D4,"unknown")))</f>
        <v>41</v>
      </c>
      <c r="T8">
        <f>IF(T$6=1,'Default Battery Chemistry'!$B4,IF(T$6=2,'Default Battery Chemistry'!$C4,IF(T$6=3,'Default Battery Chemistry'!$D4,"unknown")))</f>
        <v>41</v>
      </c>
      <c r="U8">
        <f>IF(U$6=1,'Default Battery Chemistry'!$B4,IF(U$6=2,'Default Battery Chemistry'!$C4,IF(U$6=3,'Default Battery Chemistry'!$D4,"unknown")))</f>
        <v>41</v>
      </c>
      <c r="V8">
        <f>IF(V$6=1,'Default Battery Chemistry'!$B4,IF(V$6=2,'Default Battery Chemistry'!$C4,IF(V$6=3,'Default Battery Chemistry'!$D4,"unknown")))</f>
        <v>41</v>
      </c>
      <c r="W8">
        <f t="shared" si="4"/>
        <v>41</v>
      </c>
      <c r="X8">
        <v>41</v>
      </c>
      <c r="Y8">
        <f>IF(Y$6=1,'Default Battery Chemistry'!$B4,IF(Y$6=2,'Default Battery Chemistry'!$C4,IF(Y$6=3,'Default Battery Chemistry'!$D4,"unknown")))</f>
        <v>41</v>
      </c>
      <c r="Z8">
        <f>IF(Z$6=1,'Default Battery Chemistry'!$B4,IF(Z$6=2,'Default Battery Chemistry'!$C4,IF(Z$6=3,'Default Battery Chemistry'!$D4,"unknown")))</f>
        <v>41</v>
      </c>
      <c r="AA8">
        <f>IF(AA$6=1,'Default Battery Chemistry'!$B4,IF(AA$6=2,'Default Battery Chemistry'!$C4,IF(AA$6=3,'Default Battery Chemistry'!$D4,"unknown")))</f>
        <v>41</v>
      </c>
      <c r="AB8">
        <f>IF(AB$6=1,'Default Battery Chemistry'!$B4,IF(AB$6=2,'Default Battery Chemistry'!$C4,IF(AB$6=3,'Default Battery Chemistry'!$D4,"unknown")))</f>
        <v>41</v>
      </c>
      <c r="AC8">
        <f>IF(AC$6=1,'Default Battery Chemistry'!$B4,IF(AC$6=2,'Default Battery Chemistry'!$C4,IF(AC$6=3,'Default Battery Chemistry'!$D4,"unknown")))</f>
        <v>41</v>
      </c>
      <c r="AD8">
        <f>IF(AD$6=1,'Default Battery Chemistry'!$B4,IF(AD$6=2,'Default Battery Chemistry'!$C4,IF(AD$6=3,'Default Battery Chemistry'!$D4,"unknown")))</f>
        <v>41</v>
      </c>
      <c r="AE8">
        <v>41</v>
      </c>
      <c r="AF8">
        <f>IF(AF$6=1,'Default Battery Chemistry'!$B4,IF(AF$6=2,'Default Battery Chemistry'!$C4,IF(AF$6=3,'Default Battery Chemistry'!$D4,"unknown")))</f>
        <v>41</v>
      </c>
      <c r="AG8">
        <v>41</v>
      </c>
      <c r="AH8">
        <v>41</v>
      </c>
      <c r="AI8">
        <v>41</v>
      </c>
      <c r="AJ8">
        <v>41</v>
      </c>
      <c r="AK8">
        <f>IF(AK$6=1,'Default Battery Chemistry'!$B4,IF(AK$6=2,'Default Battery Chemistry'!$C4,IF(AK$6=3,'Default Battery Chemistry'!$D4,"unknown")))</f>
        <v>41</v>
      </c>
      <c r="AL8">
        <f>IF(AL$6=1,'Default Battery Chemistry'!$B4,IF(AL$6=2,'Default Battery Chemistry'!$C4,IF(AL$6=3,'Default Battery Chemistry'!$D4,"unknown")))</f>
        <v>41</v>
      </c>
      <c r="AM8">
        <f>IF(AM$6=1,'Default Battery Chemistry'!$B4,IF(AM$6=2,'Default Battery Chemistry'!$C4,IF(AM$6=3,'Default Battery Chemistry'!$D4,"unknown")))</f>
        <v>41</v>
      </c>
      <c r="AN8">
        <f>IF(AN$6=1,'Default Battery Chemistry'!$B4,IF(AN$6=2,'Default Battery Chemistry'!$C4,IF(AN$6=3,'Default Battery Chemistry'!$D4,"unknown")))</f>
        <v>41</v>
      </c>
      <c r="AO8">
        <f>IF(AO$6=1,'Default Battery Chemistry'!$B4,IF(AO$6=2,'Default Battery Chemistry'!$C4,IF(AO$6=3,'Default Battery Chemistry'!$D4,"unknown")))</f>
        <v>41</v>
      </c>
      <c r="AP8">
        <f>IF(AP$6=1,'Default Battery Chemistry'!$B4,IF(AP$6=2,'Default Battery Chemistry'!$C4,IF(AP$6=3,'Default Battery Chemistry'!$D4,"unknown")))</f>
        <v>41</v>
      </c>
      <c r="AQ8">
        <f>IF(AQ$6=1,'Default Battery Chemistry'!$B4,IF(AQ$6=2,'Default Battery Chemistry'!$C4,IF(AQ$6=3,'Default Battery Chemistry'!$D4,"unknown")))</f>
        <v>41</v>
      </c>
      <c r="AR8">
        <f>IF(AR$6=1,'Default Battery Chemistry'!$B4,IF(AR$6=2,'Default Battery Chemistry'!$C4,IF(AR$6=3,'Default Battery Chemistry'!$D4,"unknown")))</f>
        <v>41</v>
      </c>
      <c r="AS8">
        <v>41</v>
      </c>
      <c r="AT8" s="4">
        <v>41</v>
      </c>
      <c r="AU8" s="4">
        <f>IF(AU$6=1,'Default Battery Chemistry'!$B4,IF(AU$6=2,'Default Battery Chemistry'!$C4,IF(AU$6=3,'Default Battery Chemistry'!$D4,"unknown")))</f>
        <v>41</v>
      </c>
      <c r="AV8" s="4">
        <f>IF(AV$6=1,'Default Battery Chemistry'!$B4,IF(AV$6=2,'Default Battery Chemistry'!$C4,IF(AV$6=3,'Default Battery Chemistry'!$D4,"unknown")))</f>
        <v>41</v>
      </c>
      <c r="AW8" s="4">
        <f>IF(AW$6=1,'Default Battery Chemistry'!$B4,IF(AW$6=2,'Default Battery Chemistry'!$C4,IF(AW$6=3,'Default Battery Chemistry'!$D4,"unknown")))</f>
        <v>41</v>
      </c>
      <c r="AX8" s="4">
        <f>IF(AX$6=1,'Default Battery Chemistry'!$B4,IF(AX$6=2,'Default Battery Chemistry'!$C4,IF(AX$6=3,'Default Battery Chemistry'!$D4,"unknown")))</f>
        <v>41</v>
      </c>
      <c r="AY8" s="4">
        <v>35.75</v>
      </c>
      <c r="AZ8" s="4">
        <f>IF(AZ$6=1,'Default Battery Chemistry'!$B4,IF(AZ$6=2,'Default Battery Chemistry'!$C4,IF(AZ$6=3,'Default Battery Chemistry'!$D4,"unknown")))</f>
        <v>41</v>
      </c>
      <c r="BA8" s="4">
        <f>IF(BA$6=1,'Default Battery Chemistry'!$B4,IF(BA$6=2,'Default Battery Chemistry'!$C4,IF(BA$6=3,'Default Battery Chemistry'!$D4,"unknown")))</f>
        <v>41</v>
      </c>
      <c r="BB8" s="4">
        <v>30.75</v>
      </c>
      <c r="BC8" s="4">
        <f>IF(BC$6=1,'Default Battery Chemistry'!$B4,IF(BC$6=2,'Default Battery Chemistry'!$C4,IF(BC$6=3,'Default Battery Chemistry'!$D4,"unknown")))</f>
        <v>41</v>
      </c>
      <c r="BD8" s="4">
        <v>42</v>
      </c>
      <c r="BE8" s="4">
        <v>41</v>
      </c>
      <c r="BF8" s="4">
        <f>IF(BF$6=1,'Default Battery Chemistry'!$B4,IF(BF$6=2,'Default Battery Chemistry'!$C4,IF(BF$6=3,'Default Battery Chemistry'!$D4,"unknown")))</f>
        <v>36</v>
      </c>
      <c r="BG8">
        <f>IF(BG$6=1,'Default Battery Chemistry'!$B4,IF(BG$6=2,'Default Battery Chemistry'!$C4,IF(BG$6=3,'Default Battery Chemistry'!$D4,"unknown")))</f>
        <v>36</v>
      </c>
      <c r="BH8" s="4" t="str">
        <f t="shared" si="5"/>
        <v>unknown</v>
      </c>
      <c r="BI8" s="4">
        <v>43</v>
      </c>
      <c r="CB8">
        <f>$C$33</f>
        <v>18</v>
      </c>
    </row>
    <row r="9" spans="1:80" x14ac:dyDescent="0.3">
      <c r="A9" t="str">
        <f t="shared" si="3"/>
        <v xml:space="preserve">                &lt;ParameterValue&gt;200&lt;/ParameterValue&gt;</v>
      </c>
      <c r="B9" t="s">
        <v>43</v>
      </c>
      <c r="C9">
        <f>VLOOKUP(E7,$F$4:$AAN$37,$H$1+4)</f>
        <v>200</v>
      </c>
      <c r="D9" t="s">
        <v>44</v>
      </c>
      <c r="F9">
        <v>6</v>
      </c>
      <c r="G9" s="3">
        <v>270</v>
      </c>
      <c r="H9" t="s">
        <v>12</v>
      </c>
      <c r="I9">
        <f>IF(I$6=1,'Default Battery Chemistry'!$B5,IF(I$6=2,'Default Battery Chemistry'!$C5,IF(I$6=3,'Default Battery Chemistry'!$D5,"unknown")))</f>
        <v>1.1875</v>
      </c>
      <c r="J9">
        <v>1.0859375</v>
      </c>
      <c r="K9">
        <v>1.0859375</v>
      </c>
      <c r="L9">
        <v>1.0859375</v>
      </c>
      <c r="M9">
        <v>1.0859375</v>
      </c>
      <c r="N9">
        <v>1.0859375</v>
      </c>
      <c r="O9">
        <v>1.0859375</v>
      </c>
      <c r="P9">
        <v>1.0859375</v>
      </c>
      <c r="Q9">
        <v>1.0859375</v>
      </c>
      <c r="R9">
        <f>IF(R$6=1,'Default Battery Chemistry'!$B5,IF(R$6=2,'Default Battery Chemistry'!$C5,IF(R$6=3,'Default Battery Chemistry'!$D5,"unknown")))</f>
        <v>1.1640625</v>
      </c>
      <c r="S9">
        <f>IF(S$6=1,'Default Battery Chemistry'!$B5,IF(S$6=2,'Default Battery Chemistry'!$C5,IF(S$6=3,'Default Battery Chemistry'!$D5,"unknown")))</f>
        <v>1.0859375</v>
      </c>
      <c r="T9">
        <f>IF(T$6=1,'Default Battery Chemistry'!$B5,IF(T$6=2,'Default Battery Chemistry'!$C5,IF(T$6=3,'Default Battery Chemistry'!$D5,"unknown")))</f>
        <v>1.0859375</v>
      </c>
      <c r="U9">
        <f>IF(U$6=1,'Default Battery Chemistry'!$B5,IF(U$6=2,'Default Battery Chemistry'!$C5,IF(U$6=3,'Default Battery Chemistry'!$D5,"unknown")))</f>
        <v>1.0859375</v>
      </c>
      <c r="V9">
        <f>IF(V$6=1,'Default Battery Chemistry'!$B5,IF(V$6=2,'Default Battery Chemistry'!$C5,IF(V$6=3,'Default Battery Chemistry'!$D5,"unknown")))</f>
        <v>1.0859375</v>
      </c>
      <c r="W9">
        <f t="shared" si="4"/>
        <v>1.125</v>
      </c>
      <c r="X9">
        <f t="shared" ref="X9:X22" si="6">IF(X$6=1,$I9,IF(X$6=2,$AI9,IF(X$6=3,$AM9,"unknown")))</f>
        <v>1.125</v>
      </c>
      <c r="Y9">
        <f>IF(Y$6=1,'Default Battery Chemistry'!$B5,IF(Y$6=2,'Default Battery Chemistry'!$C5,IF(Y$6=3,'Default Battery Chemistry'!$D5,"unknown")))</f>
        <v>1.0859375</v>
      </c>
      <c r="Z9">
        <f>IF(Z$6=1,'Default Battery Chemistry'!$B5,IF(Z$6=2,'Default Battery Chemistry'!$C5,IF(Z$6=3,'Default Battery Chemistry'!$D5,"unknown")))</f>
        <v>1.0859375</v>
      </c>
      <c r="AA9">
        <f>IF(AA$6=1,'Default Battery Chemistry'!$B5,IF(AA$6=2,'Default Battery Chemistry'!$C5,IF(AA$6=3,'Default Battery Chemistry'!$D5,"unknown")))</f>
        <v>1.0859375</v>
      </c>
      <c r="AB9">
        <f>IF(AB$6=1,'Default Battery Chemistry'!$B5,IF(AB$6=2,'Default Battery Chemistry'!$C5,IF(AB$6=3,'Default Battery Chemistry'!$D5,"unknown")))</f>
        <v>1.0859375</v>
      </c>
      <c r="AC9">
        <f>IF(AC$6=1,'Default Battery Chemistry'!$B5,IF(AC$6=2,'Default Battery Chemistry'!$C5,IF(AC$6=3,'Default Battery Chemistry'!$D5,"unknown")))</f>
        <v>1.0859375</v>
      </c>
      <c r="AD9">
        <f>IF(AD$6=1,'Default Battery Chemistry'!$B5,IF(AD$6=2,'Default Battery Chemistry'!$C5,IF(AD$6=3,'Default Battery Chemistry'!$D5,"unknown")))</f>
        <v>1.0859375</v>
      </c>
      <c r="AE9">
        <v>1.0859375</v>
      </c>
      <c r="AF9">
        <f>IF(AF$6=1,'Default Battery Chemistry'!$B5,IF(AF$6=2,'Default Battery Chemistry'!$C5,IF(AF$6=3,'Default Battery Chemistry'!$D5,"unknown")))</f>
        <v>1.0859375</v>
      </c>
      <c r="AG9">
        <v>1.125</v>
      </c>
      <c r="AH9">
        <v>1.125</v>
      </c>
      <c r="AI9">
        <v>1.125</v>
      </c>
      <c r="AJ9">
        <v>1.125</v>
      </c>
      <c r="AK9">
        <f>IF(AK$6=1,'Default Battery Chemistry'!$B5,IF(AK$6=2,'Default Battery Chemistry'!$C5,IF(AK$6=3,'Default Battery Chemistry'!$D5,"unknown")))</f>
        <v>1.0859375</v>
      </c>
      <c r="AL9">
        <f>IF(AL$6=1,'Default Battery Chemistry'!$B5,IF(AL$6=2,'Default Battery Chemistry'!$C5,IF(AL$6=3,'Default Battery Chemistry'!$D5,"unknown")))</f>
        <v>1.0859375</v>
      </c>
      <c r="AM9">
        <f>IF(AM$6=1,'Default Battery Chemistry'!$B5,IF(AM$6=2,'Default Battery Chemistry'!$C5,IF(AM$6=3,'Default Battery Chemistry'!$D5,"unknown")))</f>
        <v>1.0859375</v>
      </c>
      <c r="AN9">
        <f>IF(AN$6=1,'Default Battery Chemistry'!$B5,IF(AN$6=2,'Default Battery Chemistry'!$C5,IF(AN$6=3,'Default Battery Chemistry'!$D5,"unknown")))</f>
        <v>1.0859375</v>
      </c>
      <c r="AO9">
        <f>IF(AO$6=1,'Default Battery Chemistry'!$B5,IF(AO$6=2,'Default Battery Chemistry'!$C5,IF(AO$6=3,'Default Battery Chemistry'!$D5,"unknown")))</f>
        <v>1.0859375</v>
      </c>
      <c r="AP9">
        <f>IF(AP$6=1,'Default Battery Chemistry'!$B5,IF(AP$6=2,'Default Battery Chemistry'!$C5,IF(AP$6=3,'Default Battery Chemistry'!$D5,"unknown")))</f>
        <v>1.0859375</v>
      </c>
      <c r="AQ9">
        <f>IF(AQ$6=1,'Default Battery Chemistry'!$B5,IF(AQ$6=2,'Default Battery Chemistry'!$C5,IF(AQ$6=3,'Default Battery Chemistry'!$D5,"unknown")))</f>
        <v>1.0859375</v>
      </c>
      <c r="AR9">
        <f>IF(AR$6=1,'Default Battery Chemistry'!$B5,IF(AR$6=2,'Default Battery Chemistry'!$C5,IF(AR$6=3,'Default Battery Chemistry'!$D5,"unknown")))</f>
        <v>1.0859375</v>
      </c>
      <c r="AS9">
        <v>1.0859375</v>
      </c>
      <c r="AT9" s="4">
        <v>1.1875</v>
      </c>
      <c r="AU9" s="4">
        <f>IF(AU$6=1,'Default Battery Chemistry'!$B5,IF(AU$6=2,'Default Battery Chemistry'!$C5,IF(AU$6=3,'Default Battery Chemistry'!$D5,"unknown")))</f>
        <v>1.0859375</v>
      </c>
      <c r="AV9" s="4">
        <f>IF(AV$6=1,'Default Battery Chemistry'!$B5,IF(AV$6=2,'Default Battery Chemistry'!$C5,IF(AV$6=3,'Default Battery Chemistry'!$D5,"unknown")))</f>
        <v>1.0859375</v>
      </c>
      <c r="AW9" s="4">
        <f>IF(AW$6=1,'Default Battery Chemistry'!$B5,IF(AW$6=2,'Default Battery Chemistry'!$C5,IF(AW$6=3,'Default Battery Chemistry'!$D5,"unknown")))</f>
        <v>1.0859375</v>
      </c>
      <c r="AX9" s="4">
        <f>IF(AX$6=1,'Default Battery Chemistry'!$B5,IF(AX$6=2,'Default Battery Chemistry'!$C5,IF(AX$6=3,'Default Battery Chemistry'!$D5,"unknown")))</f>
        <v>1.0859375</v>
      </c>
      <c r="AY9" s="4">
        <v>1.0859375</v>
      </c>
      <c r="AZ9" s="4">
        <f>IF(AZ$6=1,'Default Battery Chemistry'!$B5,IF(AZ$6=2,'Default Battery Chemistry'!$C5,IF(AZ$6=3,'Default Battery Chemistry'!$D5,"unknown")))</f>
        <v>1.0859375</v>
      </c>
      <c r="BA9" s="4">
        <f>IF(BA$6=1,'Default Battery Chemistry'!$B5,IF(BA$6=2,'Default Battery Chemistry'!$C5,IF(BA$6=3,'Default Battery Chemistry'!$D5,"unknown")))</f>
        <v>1.0859375</v>
      </c>
      <c r="BB9" s="4">
        <v>1.0859375</v>
      </c>
      <c r="BC9" s="4">
        <f>IF(BC$6=1,'Default Battery Chemistry'!$B5,IF(BC$6=2,'Default Battery Chemistry'!$C5,IF(BC$6=3,'Default Battery Chemistry'!$D5,"unknown")))</f>
        <v>1.0859375</v>
      </c>
      <c r="BD9" s="4">
        <v>1.0859375</v>
      </c>
      <c r="BE9" s="4">
        <v>1.0859375</v>
      </c>
      <c r="BF9" s="4">
        <f>IF(BF$6=1,'Default Battery Chemistry'!$B5,IF(BF$6=2,'Default Battery Chemistry'!$C5,IF(BF$6=3,'Default Battery Chemistry'!$D5,"unknown")))</f>
        <v>1.1640625</v>
      </c>
      <c r="BG9">
        <f>IF(BG$6=1,'Default Battery Chemistry'!$B5,IF(BG$6=2,'Default Battery Chemistry'!$C5,IF(BG$6=3,'Default Battery Chemistry'!$D5,"unknown")))</f>
        <v>1.1640625</v>
      </c>
      <c r="BH9" s="4" t="str">
        <f t="shared" si="5"/>
        <v>unknown</v>
      </c>
      <c r="CB9">
        <f>$C$39</f>
        <v>1.1875</v>
      </c>
    </row>
    <row r="10" spans="1:80" x14ac:dyDescent="0.3">
      <c r="A10" t="str">
        <f t="shared" si="3"/>
        <v xml:space="preserve">            &lt;/ParameterFileItem&gt;</v>
      </c>
      <c r="B10" t="s">
        <v>33</v>
      </c>
      <c r="F10">
        <v>7</v>
      </c>
      <c r="G10" s="3">
        <v>322</v>
      </c>
      <c r="H10" t="s">
        <v>13</v>
      </c>
      <c r="I10">
        <f>IF(I$6=1,'Default Battery Chemistry'!$B6,IF(I$6=2,'Default Battery Chemistry'!$C6,IF(I$6=3,'Default Battery Chemistry'!$D6,"unknown")))</f>
        <v>38</v>
      </c>
      <c r="J10">
        <f t="shared" ref="J10:O20" si="7">IF(J$6=1,$I10,IF(J$6=2,$AI10,IF(J$6=3,$AM10,"unknown")))</f>
        <v>42</v>
      </c>
      <c r="K10">
        <f t="shared" si="7"/>
        <v>42</v>
      </c>
      <c r="L10">
        <f t="shared" si="7"/>
        <v>42</v>
      </c>
      <c r="M10">
        <f t="shared" si="7"/>
        <v>42</v>
      </c>
      <c r="N10">
        <f t="shared" si="7"/>
        <v>42</v>
      </c>
      <c r="O10">
        <f t="shared" si="7"/>
        <v>42</v>
      </c>
      <c r="P10">
        <v>42</v>
      </c>
      <c r="Q10">
        <v>42</v>
      </c>
      <c r="R10">
        <f>IF(R$6=1,'Default Battery Chemistry'!$B6,IF(R$6=2,'Default Battery Chemistry'!$C6,IF(R$6=3,'Default Battery Chemistry'!$D6,"unknown")))</f>
        <v>40</v>
      </c>
      <c r="S10">
        <f>IF(S$6=1,'Default Battery Chemistry'!$B6,IF(S$6=2,'Default Battery Chemistry'!$C6,IF(S$6=3,'Default Battery Chemistry'!$D6,"unknown")))</f>
        <v>42</v>
      </c>
      <c r="T10">
        <f>IF(T$6=1,'Default Battery Chemistry'!$B6,IF(T$6=2,'Default Battery Chemistry'!$C6,IF(T$6=3,'Default Battery Chemistry'!$D6,"unknown")))</f>
        <v>42</v>
      </c>
      <c r="U10">
        <f>IF(U$6=1,'Default Battery Chemistry'!$B6,IF(U$6=2,'Default Battery Chemistry'!$C6,IF(U$6=3,'Default Battery Chemistry'!$D6,"unknown")))</f>
        <v>42</v>
      </c>
      <c r="V10">
        <f>IF(V$6=1,'Default Battery Chemistry'!$B6,IF(V$6=2,'Default Battery Chemistry'!$C6,IF(V$6=3,'Default Battery Chemistry'!$D6,"unknown")))</f>
        <v>42</v>
      </c>
      <c r="W10">
        <f t="shared" si="4"/>
        <v>42</v>
      </c>
      <c r="X10">
        <f t="shared" si="6"/>
        <v>42</v>
      </c>
      <c r="Y10">
        <f>IF(Y$6=1,'Default Battery Chemistry'!$B6,IF(Y$6=2,'Default Battery Chemistry'!$C6,IF(Y$6=3,'Default Battery Chemistry'!$D6,"unknown")))</f>
        <v>42</v>
      </c>
      <c r="Z10">
        <f>IF(Z$6=1,'Default Battery Chemistry'!$B6,IF(Z$6=2,'Default Battery Chemistry'!$C6,IF(Z$6=3,'Default Battery Chemistry'!$D6,"unknown")))</f>
        <v>42</v>
      </c>
      <c r="AA10">
        <f>IF(AA$6=1,'Default Battery Chemistry'!$B6,IF(AA$6=2,'Default Battery Chemistry'!$C6,IF(AA$6=3,'Default Battery Chemistry'!$D6,"unknown")))</f>
        <v>42</v>
      </c>
      <c r="AB10">
        <f>IF(AB$6=1,'Default Battery Chemistry'!$B6,IF(AB$6=2,'Default Battery Chemistry'!$C6,IF(AB$6=3,'Default Battery Chemistry'!$D6,"unknown")))</f>
        <v>42</v>
      </c>
      <c r="AC10">
        <f>IF(AC$6=1,'Default Battery Chemistry'!$B6,IF(AC$6=2,'Default Battery Chemistry'!$C6,IF(AC$6=3,'Default Battery Chemistry'!$D6,"unknown")))</f>
        <v>42</v>
      </c>
      <c r="AD10">
        <f>IF(AD$6=1,'Default Battery Chemistry'!$B6,IF(AD$6=2,'Default Battery Chemistry'!$C6,IF(AD$6=3,'Default Battery Chemistry'!$D6,"unknown")))</f>
        <v>42</v>
      </c>
      <c r="AE10">
        <v>42</v>
      </c>
      <c r="AF10">
        <f>IF(AF$6=1,'Default Battery Chemistry'!$B6,IF(AF$6=2,'Default Battery Chemistry'!$C6,IF(AF$6=3,'Default Battery Chemistry'!$D6,"unknown")))</f>
        <v>42</v>
      </c>
      <c r="AG10">
        <v>42</v>
      </c>
      <c r="AH10">
        <v>42</v>
      </c>
      <c r="AI10">
        <v>42</v>
      </c>
      <c r="AJ10">
        <v>42</v>
      </c>
      <c r="AK10">
        <f>IF(AK$6=1,'Default Battery Chemistry'!$B6,IF(AK$6=2,'Default Battery Chemistry'!$C6,IF(AK$6=3,'Default Battery Chemistry'!$D6,"unknown")))</f>
        <v>42</v>
      </c>
      <c r="AL10">
        <f>IF(AL$6=1,'Default Battery Chemistry'!$B6,IF(AL$6=2,'Default Battery Chemistry'!$C6,IF(AL$6=3,'Default Battery Chemistry'!$D6,"unknown")))</f>
        <v>42</v>
      </c>
      <c r="AM10">
        <f>IF(AM$6=1,'Default Battery Chemistry'!$B6,IF(AM$6=2,'Default Battery Chemistry'!$C6,IF(AM$6=3,'Default Battery Chemistry'!$D6,"unknown")))</f>
        <v>42</v>
      </c>
      <c r="AN10">
        <f>IF(AN$6=1,'Default Battery Chemistry'!$B6,IF(AN$6=2,'Default Battery Chemistry'!$C6,IF(AN$6=3,'Default Battery Chemistry'!$D6,"unknown")))</f>
        <v>42</v>
      </c>
      <c r="AO10">
        <f>IF(AO$6=1,'Default Battery Chemistry'!$B6,IF(AO$6=2,'Default Battery Chemistry'!$C6,IF(AO$6=3,'Default Battery Chemistry'!$D6,"unknown")))</f>
        <v>42</v>
      </c>
      <c r="AP10">
        <f>IF(AP$6=1,'Default Battery Chemistry'!$B6,IF(AP$6=2,'Default Battery Chemistry'!$C6,IF(AP$6=3,'Default Battery Chemistry'!$D6,"unknown")))</f>
        <v>42</v>
      </c>
      <c r="AQ10">
        <f>IF(AQ$6=1,'Default Battery Chemistry'!$B6,IF(AQ$6=2,'Default Battery Chemistry'!$C6,IF(AQ$6=3,'Default Battery Chemistry'!$D6,"unknown")))</f>
        <v>42</v>
      </c>
      <c r="AR10">
        <f>IF(AR$6=1,'Default Battery Chemistry'!$B6,IF(AR$6=2,'Default Battery Chemistry'!$C6,IF(AR$6=3,'Default Battery Chemistry'!$D6,"unknown")))</f>
        <v>42</v>
      </c>
      <c r="AS10">
        <v>42</v>
      </c>
      <c r="AT10" s="4">
        <v>38</v>
      </c>
      <c r="AU10" s="4">
        <f>IF(AU$6=1,'Default Battery Chemistry'!$B6,IF(AU$6=2,'Default Battery Chemistry'!$C6,IF(AU$6=3,'Default Battery Chemistry'!$D6,"unknown")))</f>
        <v>42</v>
      </c>
      <c r="AV10" s="4">
        <f>IF(AV$6=1,'Default Battery Chemistry'!$B6,IF(AV$6=2,'Default Battery Chemistry'!$C6,IF(AV$6=3,'Default Battery Chemistry'!$D6,"unknown")))</f>
        <v>42</v>
      </c>
      <c r="AW10" s="4">
        <f>IF(AW$6=1,'Default Battery Chemistry'!$B6,IF(AW$6=2,'Default Battery Chemistry'!$C6,IF(AW$6=3,'Default Battery Chemistry'!$D6,"unknown")))</f>
        <v>42</v>
      </c>
      <c r="AX10" s="4">
        <f>IF(AX$6=1,'Default Battery Chemistry'!$B6,IF(AX$6=2,'Default Battery Chemistry'!$C6,IF(AX$6=3,'Default Battery Chemistry'!$D6,"unknown")))</f>
        <v>42</v>
      </c>
      <c r="AY10" s="4">
        <v>39</v>
      </c>
      <c r="AZ10" s="4">
        <f>IF(AZ$6=1,'Default Battery Chemistry'!$B6,IF(AZ$6=2,'Default Battery Chemistry'!$C6,IF(AZ$6=3,'Default Battery Chemistry'!$D6,"unknown")))</f>
        <v>42</v>
      </c>
      <c r="BA10" s="4">
        <f>IF(BA$6=1,'Default Battery Chemistry'!$B6,IF(BA$6=2,'Default Battery Chemistry'!$C6,IF(BA$6=3,'Default Battery Chemistry'!$D6,"unknown")))</f>
        <v>42</v>
      </c>
      <c r="BB10" s="4">
        <v>31.5</v>
      </c>
      <c r="BC10" s="4">
        <f>IF(BC$6=1,'Default Battery Chemistry'!$B6,IF(BC$6=2,'Default Battery Chemistry'!$C6,IF(BC$6=3,'Default Battery Chemistry'!$D6,"unknown")))</f>
        <v>42</v>
      </c>
      <c r="BD10" s="4">
        <v>42</v>
      </c>
      <c r="BE10" s="4">
        <v>42</v>
      </c>
      <c r="BF10" s="4">
        <f>IF(BF$6=1,'Default Battery Chemistry'!$B6,IF(BF$6=2,'Default Battery Chemistry'!$C6,IF(BF$6=3,'Default Battery Chemistry'!$D6,"unknown")))</f>
        <v>40</v>
      </c>
      <c r="BG10">
        <f>IF(BG$6=1,'Default Battery Chemistry'!$B6,IF(BG$6=2,'Default Battery Chemistry'!$C6,IF(BG$6=3,'Default Battery Chemistry'!$D6,"unknown")))</f>
        <v>40</v>
      </c>
      <c r="BH10" s="4" t="str">
        <f t="shared" si="5"/>
        <v>unknown</v>
      </c>
      <c r="CB10">
        <f>$C$45</f>
        <v>38</v>
      </c>
    </row>
    <row r="11" spans="1:80" x14ac:dyDescent="0.3">
      <c r="A11" t="str">
        <f t="shared" si="3"/>
        <v xml:space="preserve">            &lt;ParameterFileItem&gt;</v>
      </c>
      <c r="B11" t="s">
        <v>31</v>
      </c>
      <c r="F11">
        <v>8</v>
      </c>
      <c r="G11" s="3">
        <v>339</v>
      </c>
      <c r="H11" t="s">
        <v>0</v>
      </c>
      <c r="I11">
        <f>IF(I$6=1,'Default Battery Chemistry'!$B7,IF(I$6=2,'Default Battery Chemistry'!$C7,IF(I$6=3,'Default Battery Chemistry'!$D7,"unknown")))</f>
        <v>48.09375</v>
      </c>
      <c r="J11">
        <f t="shared" si="7"/>
        <v>45</v>
      </c>
      <c r="K11">
        <f t="shared" si="7"/>
        <v>45</v>
      </c>
      <c r="L11">
        <f t="shared" si="7"/>
        <v>45</v>
      </c>
      <c r="M11">
        <f t="shared" si="7"/>
        <v>45</v>
      </c>
      <c r="N11">
        <f t="shared" si="7"/>
        <v>45</v>
      </c>
      <c r="O11">
        <f t="shared" si="7"/>
        <v>45</v>
      </c>
      <c r="P11">
        <v>45</v>
      </c>
      <c r="Q11">
        <v>45</v>
      </c>
      <c r="R11">
        <f>IF(R$6=1,'Default Battery Chemistry'!$B7,IF(R$6=2,'Default Battery Chemistry'!$C7,IF(R$6=3,'Default Battery Chemistry'!$D7,"unknown")))</f>
        <v>41.3359375</v>
      </c>
      <c r="S11">
        <f>IF(S$6=1,'Default Battery Chemistry'!$B7,IF(S$6=2,'Default Battery Chemistry'!$C7,IF(S$6=3,'Default Battery Chemistry'!$D7,"unknown")))</f>
        <v>45</v>
      </c>
      <c r="T11">
        <f>IF(T$6=1,'Default Battery Chemistry'!$B7,IF(T$6=2,'Default Battery Chemistry'!$C7,IF(T$6=3,'Default Battery Chemistry'!$D7,"unknown")))</f>
        <v>45</v>
      </c>
      <c r="U11">
        <f>IF(U$6=1,'Default Battery Chemistry'!$B7,IF(U$6=2,'Default Battery Chemistry'!$C7,IF(U$6=3,'Default Battery Chemistry'!$D7,"unknown")))</f>
        <v>45</v>
      </c>
      <c r="V11">
        <f>IF(V$6=1,'Default Battery Chemistry'!$B7,IF(V$6=2,'Default Battery Chemistry'!$C7,IF(V$6=3,'Default Battery Chemistry'!$D7,"unknown")))</f>
        <v>45</v>
      </c>
      <c r="W11">
        <f t="shared" si="4"/>
        <v>45</v>
      </c>
      <c r="X11">
        <f t="shared" si="6"/>
        <v>45</v>
      </c>
      <c r="Y11">
        <f>IF(Y$6=1,'Default Battery Chemistry'!$B7,IF(Y$6=2,'Default Battery Chemistry'!$C7,IF(Y$6=3,'Default Battery Chemistry'!$D7,"unknown")))</f>
        <v>45</v>
      </c>
      <c r="Z11">
        <f>IF(Z$6=1,'Default Battery Chemistry'!$B7,IF(Z$6=2,'Default Battery Chemistry'!$C7,IF(Z$6=3,'Default Battery Chemistry'!$D7,"unknown")))</f>
        <v>45</v>
      </c>
      <c r="AA11">
        <f>IF(AA$6=1,'Default Battery Chemistry'!$B7,IF(AA$6=2,'Default Battery Chemistry'!$C7,IF(AA$6=3,'Default Battery Chemistry'!$D7,"unknown")))</f>
        <v>45</v>
      </c>
      <c r="AB11">
        <f>IF(AB$6=1,'Default Battery Chemistry'!$B7,IF(AB$6=2,'Default Battery Chemistry'!$C7,IF(AB$6=3,'Default Battery Chemistry'!$D7,"unknown")))</f>
        <v>45</v>
      </c>
      <c r="AC11">
        <f>IF(AC$6=1,'Default Battery Chemistry'!$B7,IF(AC$6=2,'Default Battery Chemistry'!$C7,IF(AC$6=3,'Default Battery Chemistry'!$D7,"unknown")))</f>
        <v>45</v>
      </c>
      <c r="AD11">
        <f>IF(AD$6=1,'Default Battery Chemistry'!$B7,IF(AD$6=2,'Default Battery Chemistry'!$C7,IF(AD$6=3,'Default Battery Chemistry'!$D7,"unknown")))</f>
        <v>45</v>
      </c>
      <c r="AE11">
        <v>45</v>
      </c>
      <c r="AF11">
        <f>IF(AF$6=1,'Default Battery Chemistry'!$B7,IF(AF$6=2,'Default Battery Chemistry'!$C7,IF(AF$6=3,'Default Battery Chemistry'!$D7,"unknown")))</f>
        <v>45</v>
      </c>
      <c r="AG11">
        <v>45</v>
      </c>
      <c r="AH11">
        <v>45</v>
      </c>
      <c r="AI11">
        <v>45</v>
      </c>
      <c r="AJ11">
        <v>45</v>
      </c>
      <c r="AK11">
        <f>IF(AK$6=1,'Default Battery Chemistry'!$B7,IF(AK$6=2,'Default Battery Chemistry'!$C7,IF(AK$6=3,'Default Battery Chemistry'!$D7,"unknown")))</f>
        <v>45</v>
      </c>
      <c r="AL11">
        <f>IF(AL$6=1,'Default Battery Chemistry'!$B7,IF(AL$6=2,'Default Battery Chemistry'!$C7,IF(AL$6=3,'Default Battery Chemistry'!$D7,"unknown")))</f>
        <v>45</v>
      </c>
      <c r="AM11">
        <f>IF(AM$6=1,'Default Battery Chemistry'!$B7,IF(AM$6=2,'Default Battery Chemistry'!$C7,IF(AM$6=3,'Default Battery Chemistry'!$D7,"unknown")))</f>
        <v>45</v>
      </c>
      <c r="AN11">
        <f>IF(AN$6=1,'Default Battery Chemistry'!$B7,IF(AN$6=2,'Default Battery Chemistry'!$C7,IF(AN$6=3,'Default Battery Chemistry'!$D7,"unknown")))</f>
        <v>45</v>
      </c>
      <c r="AO11">
        <f>IF(AO$6=1,'Default Battery Chemistry'!$B7,IF(AO$6=2,'Default Battery Chemistry'!$C7,IF(AO$6=3,'Default Battery Chemistry'!$D7,"unknown")))</f>
        <v>45</v>
      </c>
      <c r="AP11">
        <f>IF(AP$6=1,'Default Battery Chemistry'!$B7,IF(AP$6=2,'Default Battery Chemistry'!$C7,IF(AP$6=3,'Default Battery Chemistry'!$D7,"unknown")))</f>
        <v>45</v>
      </c>
      <c r="AQ11">
        <f>IF(AQ$6=1,'Default Battery Chemistry'!$B7,IF(AQ$6=2,'Default Battery Chemistry'!$C7,IF(AQ$6=3,'Default Battery Chemistry'!$D7,"unknown")))</f>
        <v>45</v>
      </c>
      <c r="AR11">
        <f>IF(AR$6=1,'Default Battery Chemistry'!$B7,IF(AR$6=2,'Default Battery Chemistry'!$C7,IF(AR$6=3,'Default Battery Chemistry'!$D7,"unknown")))</f>
        <v>45</v>
      </c>
      <c r="AS11">
        <v>45</v>
      </c>
      <c r="AT11" s="4">
        <v>48.09375</v>
      </c>
      <c r="AU11" s="4">
        <f>IF(AU$6=1,'Default Battery Chemistry'!$B7,IF(AU$6=2,'Default Battery Chemistry'!$C7,IF(AU$6=3,'Default Battery Chemistry'!$D7,"unknown")))</f>
        <v>45</v>
      </c>
      <c r="AV11" s="4">
        <f>IF(AV$6=1,'Default Battery Chemistry'!$B7,IF(AV$6=2,'Default Battery Chemistry'!$C7,IF(AV$6=3,'Default Battery Chemistry'!$D7,"unknown")))</f>
        <v>45</v>
      </c>
      <c r="AW11" s="4">
        <f>IF(AW$6=1,'Default Battery Chemistry'!$B7,IF(AW$6=2,'Default Battery Chemistry'!$C7,IF(AW$6=3,'Default Battery Chemistry'!$D7,"unknown")))</f>
        <v>45</v>
      </c>
      <c r="AX11" s="4">
        <f>IF(AX$6=1,'Default Battery Chemistry'!$B7,IF(AX$6=2,'Default Battery Chemistry'!$C7,IF(AX$6=3,'Default Battery Chemistry'!$D7,"unknown")))</f>
        <v>45</v>
      </c>
      <c r="AY11" s="4">
        <v>48</v>
      </c>
      <c r="AZ11" s="4">
        <f>IF(AZ$6=1,'Default Battery Chemistry'!$B7,IF(AZ$6=2,'Default Battery Chemistry'!$C7,IF(AZ$6=3,'Default Battery Chemistry'!$D7,"unknown")))</f>
        <v>45</v>
      </c>
      <c r="BA11" s="4">
        <f>IF(BA$6=1,'Default Battery Chemistry'!$B7,IF(BA$6=2,'Default Battery Chemistry'!$C7,IF(BA$6=3,'Default Battery Chemistry'!$D7,"unknown")))</f>
        <v>45</v>
      </c>
      <c r="BB11" s="4">
        <v>45</v>
      </c>
      <c r="BC11" s="4">
        <f>IF(BC$6=1,'Default Battery Chemistry'!$B7,IF(BC$6=2,'Default Battery Chemistry'!$C7,IF(BC$6=3,'Default Battery Chemistry'!$D7,"unknown")))</f>
        <v>45</v>
      </c>
      <c r="BD11" s="4">
        <v>45</v>
      </c>
      <c r="BE11" s="4">
        <v>45</v>
      </c>
      <c r="BF11" s="4">
        <f>IF(BF$6=1,'Default Battery Chemistry'!$B7,IF(BF$6=2,'Default Battery Chemistry'!$C7,IF(BF$6=3,'Default Battery Chemistry'!$D7,"unknown")))</f>
        <v>41.3359375</v>
      </c>
      <c r="BG11">
        <f>IF(BG$6=1,'Default Battery Chemistry'!$B7,IF(BG$6=2,'Default Battery Chemistry'!$C7,IF(BG$6=3,'Default Battery Chemistry'!$D7,"unknown")))</f>
        <v>41.3359375</v>
      </c>
      <c r="BH11" s="4" t="str">
        <f t="shared" si="5"/>
        <v>unknown</v>
      </c>
      <c r="CB11">
        <f>$C$51</f>
        <v>48.09375</v>
      </c>
    </row>
    <row r="12" spans="1:80" x14ac:dyDescent="0.3">
      <c r="A12" t="str">
        <f t="shared" si="3"/>
        <v xml:space="preserve">                &lt;ViewType&gt;ReadOnly&lt;/ViewType&gt;</v>
      </c>
      <c r="B12" t="s">
        <v>32</v>
      </c>
      <c r="F12">
        <v>9</v>
      </c>
      <c r="G12" s="3">
        <v>340</v>
      </c>
      <c r="H12" t="s">
        <v>2</v>
      </c>
      <c r="I12">
        <f>IF(I$6=1,'Default Battery Chemistry'!$B8,IF(I$6=2,'Default Battery Chemistry'!$C8,IF(I$6=3,'Default Battery Chemistry'!$D8,"unknown")))</f>
        <v>47.1953125</v>
      </c>
      <c r="J12">
        <f t="shared" si="7"/>
        <v>44.7421875</v>
      </c>
      <c r="K12">
        <f t="shared" si="7"/>
        <v>44.7421875</v>
      </c>
      <c r="L12">
        <f t="shared" si="7"/>
        <v>44.7421875</v>
      </c>
      <c r="M12">
        <f t="shared" si="7"/>
        <v>44.7421875</v>
      </c>
      <c r="N12">
        <f t="shared" si="7"/>
        <v>44.7421875</v>
      </c>
      <c r="O12">
        <f t="shared" si="7"/>
        <v>44.7421875</v>
      </c>
      <c r="P12">
        <v>44.7421875</v>
      </c>
      <c r="Q12">
        <v>44.7421875</v>
      </c>
      <c r="R12">
        <f>IF(R$6=1,'Default Battery Chemistry'!$B8,IF(R$6=2,'Default Battery Chemistry'!$C8,IF(R$6=3,'Default Battery Chemistry'!$D8,"unknown")))</f>
        <v>41.3359375</v>
      </c>
      <c r="S12">
        <f>IF(S$6=1,'Default Battery Chemistry'!$B8,IF(S$6=2,'Default Battery Chemistry'!$C8,IF(S$6=3,'Default Battery Chemistry'!$D8,"unknown")))</f>
        <v>44.7421875</v>
      </c>
      <c r="T12">
        <f>IF(T$6=1,'Default Battery Chemistry'!$B8,IF(T$6=2,'Default Battery Chemistry'!$C8,IF(T$6=3,'Default Battery Chemistry'!$D8,"unknown")))</f>
        <v>44.7421875</v>
      </c>
      <c r="U12">
        <f>IF(U$6=1,'Default Battery Chemistry'!$B8,IF(U$6=2,'Default Battery Chemistry'!$C8,IF(U$6=3,'Default Battery Chemistry'!$D8,"unknown")))</f>
        <v>44.7421875</v>
      </c>
      <c r="V12">
        <f>IF(V$6=1,'Default Battery Chemistry'!$B8,IF(V$6=2,'Default Battery Chemistry'!$C8,IF(V$6=3,'Default Battery Chemistry'!$D8,"unknown")))</f>
        <v>44.7421875</v>
      </c>
      <c r="W12">
        <f t="shared" si="4"/>
        <v>44.7421875</v>
      </c>
      <c r="X12">
        <f t="shared" si="6"/>
        <v>44.7421875</v>
      </c>
      <c r="Y12">
        <f>IF(Y$6=1,'Default Battery Chemistry'!$B8,IF(Y$6=2,'Default Battery Chemistry'!$C8,IF(Y$6=3,'Default Battery Chemistry'!$D8,"unknown")))</f>
        <v>44.7421875</v>
      </c>
      <c r="Z12">
        <f>IF(Z$6=1,'Default Battery Chemistry'!$B8,IF(Z$6=2,'Default Battery Chemistry'!$C8,IF(Z$6=3,'Default Battery Chemistry'!$D8,"unknown")))</f>
        <v>44.7421875</v>
      </c>
      <c r="AA12">
        <f>IF(AA$6=1,'Default Battery Chemistry'!$B8,IF(AA$6=2,'Default Battery Chemistry'!$C8,IF(AA$6=3,'Default Battery Chemistry'!$D8,"unknown")))</f>
        <v>44.7421875</v>
      </c>
      <c r="AB12">
        <f>IF(AB$6=1,'Default Battery Chemistry'!$B8,IF(AB$6=2,'Default Battery Chemistry'!$C8,IF(AB$6=3,'Default Battery Chemistry'!$D8,"unknown")))</f>
        <v>44.7421875</v>
      </c>
      <c r="AC12">
        <f>IF(AC$6=1,'Default Battery Chemistry'!$B8,IF(AC$6=2,'Default Battery Chemistry'!$C8,IF(AC$6=3,'Default Battery Chemistry'!$D8,"unknown")))</f>
        <v>44.7421875</v>
      </c>
      <c r="AD12">
        <f>IF(AD$6=1,'Default Battery Chemistry'!$B8,IF(AD$6=2,'Default Battery Chemistry'!$C8,IF(AD$6=3,'Default Battery Chemistry'!$D8,"unknown")))</f>
        <v>44.7421875</v>
      </c>
      <c r="AE12">
        <v>44.7421875</v>
      </c>
      <c r="AF12">
        <f>IF(AF$6=1,'Default Battery Chemistry'!$B8,IF(AF$6=2,'Default Battery Chemistry'!$C8,IF(AF$6=3,'Default Battery Chemistry'!$D8,"unknown")))</f>
        <v>44.7421875</v>
      </c>
      <c r="AG12">
        <v>44.7421875</v>
      </c>
      <c r="AH12">
        <v>44.7421875</v>
      </c>
      <c r="AI12">
        <v>44.7421875</v>
      </c>
      <c r="AJ12">
        <v>44.7421875</v>
      </c>
      <c r="AK12">
        <f>IF(AK$6=1,'Default Battery Chemistry'!$B8,IF(AK$6=2,'Default Battery Chemistry'!$C8,IF(AK$6=3,'Default Battery Chemistry'!$D8,"unknown")))</f>
        <v>44.7421875</v>
      </c>
      <c r="AL12">
        <f>IF(AL$6=1,'Default Battery Chemistry'!$B8,IF(AL$6=2,'Default Battery Chemistry'!$C8,IF(AL$6=3,'Default Battery Chemistry'!$D8,"unknown")))</f>
        <v>44.7421875</v>
      </c>
      <c r="AM12">
        <f>IF(AM$6=1,'Default Battery Chemistry'!$B8,IF(AM$6=2,'Default Battery Chemistry'!$C8,IF(AM$6=3,'Default Battery Chemistry'!$D8,"unknown")))</f>
        <v>44.7421875</v>
      </c>
      <c r="AN12">
        <f>IF(AN$6=1,'Default Battery Chemistry'!$B8,IF(AN$6=2,'Default Battery Chemistry'!$C8,IF(AN$6=3,'Default Battery Chemistry'!$D8,"unknown")))</f>
        <v>44.7421875</v>
      </c>
      <c r="AO12">
        <f>IF(AO$6=1,'Default Battery Chemistry'!$B8,IF(AO$6=2,'Default Battery Chemistry'!$C8,IF(AO$6=3,'Default Battery Chemistry'!$D8,"unknown")))</f>
        <v>44.7421875</v>
      </c>
      <c r="AP12">
        <f>IF(AP$6=1,'Default Battery Chemistry'!$B8,IF(AP$6=2,'Default Battery Chemistry'!$C8,IF(AP$6=3,'Default Battery Chemistry'!$D8,"unknown")))</f>
        <v>44.7421875</v>
      </c>
      <c r="AQ12">
        <f>IF(AQ$6=1,'Default Battery Chemistry'!$B8,IF(AQ$6=2,'Default Battery Chemistry'!$C8,IF(AQ$6=3,'Default Battery Chemistry'!$D8,"unknown")))</f>
        <v>44.7421875</v>
      </c>
      <c r="AR12">
        <f>IF(AR$6=1,'Default Battery Chemistry'!$B8,IF(AR$6=2,'Default Battery Chemistry'!$C8,IF(AR$6=3,'Default Battery Chemistry'!$D8,"unknown")))</f>
        <v>44.7421875</v>
      </c>
      <c r="AS12">
        <v>44.7421875</v>
      </c>
      <c r="AT12" s="4">
        <v>47.1953125</v>
      </c>
      <c r="AU12" s="4">
        <f>IF(AU$6=1,'Default Battery Chemistry'!$B8,IF(AU$6=2,'Default Battery Chemistry'!$C8,IF(AU$6=3,'Default Battery Chemistry'!$D8,"unknown")))</f>
        <v>44.7421875</v>
      </c>
      <c r="AV12" s="4">
        <f>IF(AV$6=1,'Default Battery Chemistry'!$B8,IF(AV$6=2,'Default Battery Chemistry'!$C8,IF(AV$6=3,'Default Battery Chemistry'!$D8,"unknown")))</f>
        <v>44.7421875</v>
      </c>
      <c r="AW12" s="4">
        <f>IF(AW$6=1,'Default Battery Chemistry'!$B8,IF(AW$6=2,'Default Battery Chemistry'!$C8,IF(AW$6=3,'Default Battery Chemistry'!$D8,"unknown")))</f>
        <v>44.7421875</v>
      </c>
      <c r="AX12" s="4">
        <f>IF(AX$6=1,'Default Battery Chemistry'!$B8,IF(AX$6=2,'Default Battery Chemistry'!$C8,IF(AX$6=3,'Default Battery Chemistry'!$D8,"unknown")))</f>
        <v>44.7421875</v>
      </c>
      <c r="AY12" s="4">
        <v>47.6953125</v>
      </c>
      <c r="AZ12" s="4">
        <f>IF(AZ$6=1,'Default Battery Chemistry'!$B8,IF(AZ$6=2,'Default Battery Chemistry'!$C8,IF(AZ$6=3,'Default Battery Chemistry'!$D8,"unknown")))</f>
        <v>44.7421875</v>
      </c>
      <c r="BA12" s="4">
        <f>IF(BA$6=1,'Default Battery Chemistry'!$B8,IF(BA$6=2,'Default Battery Chemistry'!$C8,IF(BA$6=3,'Default Battery Chemistry'!$D8,"unknown")))</f>
        <v>44.7421875</v>
      </c>
      <c r="BB12" s="4">
        <v>44.7421875</v>
      </c>
      <c r="BC12" s="4">
        <f>IF(BC$6=1,'Default Battery Chemistry'!$B8,IF(BC$6=2,'Default Battery Chemistry'!$C8,IF(BC$6=3,'Default Battery Chemistry'!$D8,"unknown")))</f>
        <v>44.7421875</v>
      </c>
      <c r="BD12" s="4">
        <v>44.7421875</v>
      </c>
      <c r="BE12" s="4">
        <v>44.7421875</v>
      </c>
      <c r="BF12" s="4">
        <f>IF(BF$6=1,'Default Battery Chemistry'!$B8,IF(BF$6=2,'Default Battery Chemistry'!$C8,IF(BF$6=3,'Default Battery Chemistry'!$D8,"unknown")))</f>
        <v>41.3359375</v>
      </c>
      <c r="BG12">
        <f>IF(BG$6=1,'Default Battery Chemistry'!$B8,IF(BG$6=2,'Default Battery Chemistry'!$C8,IF(BG$6=3,'Default Battery Chemistry'!$D8,"unknown")))</f>
        <v>41.3359375</v>
      </c>
      <c r="BH12" s="4" t="str">
        <f t="shared" si="5"/>
        <v>unknown</v>
      </c>
      <c r="CB12">
        <f>$C$57</f>
        <v>47.1953125</v>
      </c>
    </row>
    <row r="13" spans="1:80" x14ac:dyDescent="0.3">
      <c r="A13" t="str">
        <f t="shared" si="3"/>
        <v xml:space="preserve">                &lt;Address&gt;597&lt;/Address&gt;</v>
      </c>
      <c r="B13" t="s">
        <v>40</v>
      </c>
      <c r="C13">
        <f>VLOOKUP(E13,$F$4:$G$37,2)</f>
        <v>597</v>
      </c>
      <c r="D13" t="s">
        <v>39</v>
      </c>
      <c r="E13">
        <v>2</v>
      </c>
      <c r="F13">
        <v>10</v>
      </c>
      <c r="G13" s="3">
        <v>341</v>
      </c>
      <c r="H13" t="s">
        <v>3</v>
      </c>
      <c r="I13">
        <f>IF(I$6=1,'Default Battery Chemistry'!$B9,IF(I$6=2,'Default Battery Chemistry'!$C9,IF(I$6=3,'Default Battery Chemistry'!$D9,"unknown")))</f>
        <v>45.5703125</v>
      </c>
      <c r="J13">
        <f t="shared" si="7"/>
        <v>44.2421875</v>
      </c>
      <c r="K13">
        <f t="shared" si="7"/>
        <v>44.2421875</v>
      </c>
      <c r="L13">
        <f t="shared" si="7"/>
        <v>44.2421875</v>
      </c>
      <c r="M13">
        <f t="shared" si="7"/>
        <v>44.2421875</v>
      </c>
      <c r="N13">
        <f t="shared" si="7"/>
        <v>44.2421875</v>
      </c>
      <c r="O13">
        <f t="shared" si="7"/>
        <v>44.2421875</v>
      </c>
      <c r="P13">
        <v>44.2421875</v>
      </c>
      <c r="Q13">
        <v>44.2421875</v>
      </c>
      <c r="R13">
        <f>IF(R$6=1,'Default Battery Chemistry'!$B9,IF(R$6=2,'Default Battery Chemistry'!$C9,IF(R$6=3,'Default Battery Chemistry'!$D9,"unknown")))</f>
        <v>41.3359375</v>
      </c>
      <c r="S13">
        <f>IF(S$6=1,'Default Battery Chemistry'!$B9,IF(S$6=2,'Default Battery Chemistry'!$C9,IF(S$6=3,'Default Battery Chemistry'!$D9,"unknown")))</f>
        <v>44.2421875</v>
      </c>
      <c r="T13">
        <f>IF(T$6=1,'Default Battery Chemistry'!$B9,IF(T$6=2,'Default Battery Chemistry'!$C9,IF(T$6=3,'Default Battery Chemistry'!$D9,"unknown")))</f>
        <v>44.2421875</v>
      </c>
      <c r="U13">
        <f>IF(U$6=1,'Default Battery Chemistry'!$B9,IF(U$6=2,'Default Battery Chemistry'!$C9,IF(U$6=3,'Default Battery Chemistry'!$D9,"unknown")))</f>
        <v>44.2421875</v>
      </c>
      <c r="V13">
        <f>IF(V$6=1,'Default Battery Chemistry'!$B9,IF(V$6=2,'Default Battery Chemistry'!$C9,IF(V$6=3,'Default Battery Chemistry'!$D9,"unknown")))</f>
        <v>44.2421875</v>
      </c>
      <c r="W13">
        <f t="shared" si="4"/>
        <v>44.2421875</v>
      </c>
      <c r="X13">
        <f t="shared" si="6"/>
        <v>44.2421875</v>
      </c>
      <c r="Y13">
        <f>IF(Y$6=1,'Default Battery Chemistry'!$B9,IF(Y$6=2,'Default Battery Chemistry'!$C9,IF(Y$6=3,'Default Battery Chemistry'!$D9,"unknown")))</f>
        <v>44.2421875</v>
      </c>
      <c r="Z13">
        <f>IF(Z$6=1,'Default Battery Chemistry'!$B9,IF(Z$6=2,'Default Battery Chemistry'!$C9,IF(Z$6=3,'Default Battery Chemistry'!$D9,"unknown")))</f>
        <v>44.2421875</v>
      </c>
      <c r="AA13">
        <f>IF(AA$6=1,'Default Battery Chemistry'!$B9,IF(AA$6=2,'Default Battery Chemistry'!$C9,IF(AA$6=3,'Default Battery Chemistry'!$D9,"unknown")))</f>
        <v>44.2421875</v>
      </c>
      <c r="AB13">
        <f>IF(AB$6=1,'Default Battery Chemistry'!$B9,IF(AB$6=2,'Default Battery Chemistry'!$C9,IF(AB$6=3,'Default Battery Chemistry'!$D9,"unknown")))</f>
        <v>44.2421875</v>
      </c>
      <c r="AC13">
        <f>IF(AC$6=1,'Default Battery Chemistry'!$B9,IF(AC$6=2,'Default Battery Chemistry'!$C9,IF(AC$6=3,'Default Battery Chemistry'!$D9,"unknown")))</f>
        <v>44.2421875</v>
      </c>
      <c r="AD13">
        <f>IF(AD$6=1,'Default Battery Chemistry'!$B9,IF(AD$6=2,'Default Battery Chemistry'!$C9,IF(AD$6=3,'Default Battery Chemistry'!$D9,"unknown")))</f>
        <v>44.2421875</v>
      </c>
      <c r="AE13">
        <v>44.2421875</v>
      </c>
      <c r="AF13">
        <f>IF(AF$6=1,'Default Battery Chemistry'!$B9,IF(AF$6=2,'Default Battery Chemistry'!$C9,IF(AF$6=3,'Default Battery Chemistry'!$D9,"unknown")))</f>
        <v>44.2421875</v>
      </c>
      <c r="AG13">
        <v>44.2421875</v>
      </c>
      <c r="AH13">
        <v>44.2421875</v>
      </c>
      <c r="AI13">
        <v>44.2421875</v>
      </c>
      <c r="AJ13">
        <v>44.2421875</v>
      </c>
      <c r="AK13">
        <f>IF(AK$6=1,'Default Battery Chemistry'!$B9,IF(AK$6=2,'Default Battery Chemistry'!$C9,IF(AK$6=3,'Default Battery Chemistry'!$D9,"unknown")))</f>
        <v>44.2421875</v>
      </c>
      <c r="AL13">
        <f>IF(AL$6=1,'Default Battery Chemistry'!$B9,IF(AL$6=2,'Default Battery Chemistry'!$C9,IF(AL$6=3,'Default Battery Chemistry'!$D9,"unknown")))</f>
        <v>44.2421875</v>
      </c>
      <c r="AM13">
        <f>IF(AM$6=1,'Default Battery Chemistry'!$B9,IF(AM$6=2,'Default Battery Chemistry'!$C9,IF(AM$6=3,'Default Battery Chemistry'!$D9,"unknown")))</f>
        <v>44.2421875</v>
      </c>
      <c r="AN13">
        <f>IF(AN$6=1,'Default Battery Chemistry'!$B9,IF(AN$6=2,'Default Battery Chemistry'!$C9,IF(AN$6=3,'Default Battery Chemistry'!$D9,"unknown")))</f>
        <v>44.2421875</v>
      </c>
      <c r="AO13">
        <f>IF(AO$6=1,'Default Battery Chemistry'!$B9,IF(AO$6=2,'Default Battery Chemistry'!$C9,IF(AO$6=3,'Default Battery Chemistry'!$D9,"unknown")))</f>
        <v>44.2421875</v>
      </c>
      <c r="AP13">
        <f>IF(AP$6=1,'Default Battery Chemistry'!$B9,IF(AP$6=2,'Default Battery Chemistry'!$C9,IF(AP$6=3,'Default Battery Chemistry'!$D9,"unknown")))</f>
        <v>44.2421875</v>
      </c>
      <c r="AQ13">
        <f>IF(AQ$6=1,'Default Battery Chemistry'!$B9,IF(AQ$6=2,'Default Battery Chemistry'!$C9,IF(AQ$6=3,'Default Battery Chemistry'!$D9,"unknown")))</f>
        <v>44.2421875</v>
      </c>
      <c r="AR13">
        <f>IF(AR$6=1,'Default Battery Chemistry'!$B9,IF(AR$6=2,'Default Battery Chemistry'!$C9,IF(AR$6=3,'Default Battery Chemistry'!$D9,"unknown")))</f>
        <v>44.2421875</v>
      </c>
      <c r="AS13">
        <v>44.2421875</v>
      </c>
      <c r="AT13" s="4">
        <v>45.5703125</v>
      </c>
      <c r="AU13" s="4">
        <f>IF(AU$6=1,'Default Battery Chemistry'!$B9,IF(AU$6=2,'Default Battery Chemistry'!$C9,IF(AU$6=3,'Default Battery Chemistry'!$D9,"unknown")))</f>
        <v>44.2421875</v>
      </c>
      <c r="AV13" s="4">
        <f>IF(AV$6=1,'Default Battery Chemistry'!$B9,IF(AV$6=2,'Default Battery Chemistry'!$C9,IF(AV$6=3,'Default Battery Chemistry'!$D9,"unknown")))</f>
        <v>44.2421875</v>
      </c>
      <c r="AW13" s="4">
        <f>IF(AW$6=1,'Default Battery Chemistry'!$B9,IF(AW$6=2,'Default Battery Chemistry'!$C9,IF(AW$6=3,'Default Battery Chemistry'!$D9,"unknown")))</f>
        <v>44.2421875</v>
      </c>
      <c r="AX13" s="4">
        <f>IF(AX$6=1,'Default Battery Chemistry'!$B9,IF(AX$6=2,'Default Battery Chemistry'!$C9,IF(AX$6=3,'Default Battery Chemistry'!$D9,"unknown")))</f>
        <v>44.2421875</v>
      </c>
      <c r="AY13" s="4">
        <v>47.09375</v>
      </c>
      <c r="AZ13" s="4">
        <f>IF(AZ$6=1,'Default Battery Chemistry'!$B9,IF(AZ$6=2,'Default Battery Chemistry'!$C9,IF(AZ$6=3,'Default Battery Chemistry'!$D9,"unknown")))</f>
        <v>44.2421875</v>
      </c>
      <c r="BA13" s="4">
        <f>IF(BA$6=1,'Default Battery Chemistry'!$B9,IF(BA$6=2,'Default Battery Chemistry'!$C9,IF(BA$6=3,'Default Battery Chemistry'!$D9,"unknown")))</f>
        <v>44.2421875</v>
      </c>
      <c r="BB13" s="4">
        <v>44.2421875</v>
      </c>
      <c r="BC13" s="4">
        <f>IF(BC$6=1,'Default Battery Chemistry'!$B9,IF(BC$6=2,'Default Battery Chemistry'!$C9,IF(BC$6=3,'Default Battery Chemistry'!$D9,"unknown")))</f>
        <v>44.2421875</v>
      </c>
      <c r="BD13" s="4">
        <v>44.2421875</v>
      </c>
      <c r="BE13" s="4">
        <v>44.2421875</v>
      </c>
      <c r="BF13" s="4">
        <f>IF(BF$6=1,'Default Battery Chemistry'!$B9,IF(BF$6=2,'Default Battery Chemistry'!$C9,IF(BF$6=3,'Default Battery Chemistry'!$D9,"unknown")))</f>
        <v>41.3359375</v>
      </c>
      <c r="BG13">
        <f>IF(BG$6=1,'Default Battery Chemistry'!$B9,IF(BG$6=2,'Default Battery Chemistry'!$C9,IF(BG$6=3,'Default Battery Chemistry'!$D9,"unknown")))</f>
        <v>41.3359375</v>
      </c>
      <c r="BH13" s="4" t="str">
        <f t="shared" si="5"/>
        <v>unknown</v>
      </c>
      <c r="CB13">
        <f>$C$63</f>
        <v>45.5703125</v>
      </c>
    </row>
    <row r="14" spans="1:80" x14ac:dyDescent="0.3">
      <c r="A14" t="str">
        <f t="shared" si="3"/>
        <v xml:space="preserve">                &lt;PropertyName&gt;BatteryConfigurationProfileNumber&lt;/PropertyName&gt;</v>
      </c>
      <c r="B14" t="s">
        <v>41</v>
      </c>
      <c r="C14" t="str">
        <f>VLOOKUP(C13,$G$4:$H$37,2,FALSE)</f>
        <v>BatteryConfigurationProfileNumber</v>
      </c>
      <c r="D14" t="s">
        <v>42</v>
      </c>
      <c r="F14">
        <v>11</v>
      </c>
      <c r="G14" s="3">
        <v>342</v>
      </c>
      <c r="H14" t="s">
        <v>4</v>
      </c>
      <c r="I14">
        <f>IF(I$6=1,'Default Battery Chemistry'!$B10,IF(I$6=2,'Default Battery Chemistry'!$C10,IF(I$6=3,'Default Battery Chemistry'!$D10,"unknown")))</f>
        <v>43.1953125</v>
      </c>
      <c r="J14">
        <f t="shared" si="7"/>
        <v>43.484375</v>
      </c>
      <c r="K14">
        <f t="shared" si="7"/>
        <v>43.484375</v>
      </c>
      <c r="L14">
        <f t="shared" si="7"/>
        <v>43.484375</v>
      </c>
      <c r="M14">
        <f t="shared" si="7"/>
        <v>43.484375</v>
      </c>
      <c r="N14">
        <f t="shared" si="7"/>
        <v>43.484375</v>
      </c>
      <c r="O14">
        <f t="shared" si="7"/>
        <v>43.484375</v>
      </c>
      <c r="P14">
        <v>43.484375</v>
      </c>
      <c r="Q14">
        <v>43.484375</v>
      </c>
      <c r="R14">
        <f>IF(R$6=1,'Default Battery Chemistry'!$B10,IF(R$6=2,'Default Battery Chemistry'!$C10,IF(R$6=3,'Default Battery Chemistry'!$D10,"unknown")))</f>
        <v>41.3359375</v>
      </c>
      <c r="S14">
        <f>IF(S$6=1,'Default Battery Chemistry'!$B10,IF(S$6=2,'Default Battery Chemistry'!$C10,IF(S$6=3,'Default Battery Chemistry'!$D10,"unknown")))</f>
        <v>43.484375</v>
      </c>
      <c r="T14">
        <f>IF(T$6=1,'Default Battery Chemistry'!$B10,IF(T$6=2,'Default Battery Chemistry'!$C10,IF(T$6=3,'Default Battery Chemistry'!$D10,"unknown")))</f>
        <v>43.484375</v>
      </c>
      <c r="U14">
        <f>IF(U$6=1,'Default Battery Chemistry'!$B10,IF(U$6=2,'Default Battery Chemistry'!$C10,IF(U$6=3,'Default Battery Chemistry'!$D10,"unknown")))</f>
        <v>43.484375</v>
      </c>
      <c r="V14">
        <f>IF(V$6=1,'Default Battery Chemistry'!$B10,IF(V$6=2,'Default Battery Chemistry'!$C10,IF(V$6=3,'Default Battery Chemistry'!$D10,"unknown")))</f>
        <v>43.484375</v>
      </c>
      <c r="W14">
        <f t="shared" si="4"/>
        <v>43.484375</v>
      </c>
      <c r="X14">
        <f t="shared" si="6"/>
        <v>43.484375</v>
      </c>
      <c r="Y14">
        <f>IF(Y$6=1,'Default Battery Chemistry'!$B10,IF(Y$6=2,'Default Battery Chemistry'!$C10,IF(Y$6=3,'Default Battery Chemistry'!$D10,"unknown")))</f>
        <v>43.484375</v>
      </c>
      <c r="Z14">
        <f>IF(Z$6=1,'Default Battery Chemistry'!$B10,IF(Z$6=2,'Default Battery Chemistry'!$C10,IF(Z$6=3,'Default Battery Chemistry'!$D10,"unknown")))</f>
        <v>43.484375</v>
      </c>
      <c r="AA14">
        <f>IF(AA$6=1,'Default Battery Chemistry'!$B10,IF(AA$6=2,'Default Battery Chemistry'!$C10,IF(AA$6=3,'Default Battery Chemistry'!$D10,"unknown")))</f>
        <v>43.484375</v>
      </c>
      <c r="AB14">
        <f>IF(AB$6=1,'Default Battery Chemistry'!$B10,IF(AB$6=2,'Default Battery Chemistry'!$C10,IF(AB$6=3,'Default Battery Chemistry'!$D10,"unknown")))</f>
        <v>43.484375</v>
      </c>
      <c r="AC14">
        <f>IF(AC$6=1,'Default Battery Chemistry'!$B10,IF(AC$6=2,'Default Battery Chemistry'!$C10,IF(AC$6=3,'Default Battery Chemistry'!$D10,"unknown")))</f>
        <v>43.484375</v>
      </c>
      <c r="AD14">
        <f>IF(AD$6=1,'Default Battery Chemistry'!$B10,IF(AD$6=2,'Default Battery Chemistry'!$C10,IF(AD$6=3,'Default Battery Chemistry'!$D10,"unknown")))</f>
        <v>43.484375</v>
      </c>
      <c r="AE14">
        <v>43.484375</v>
      </c>
      <c r="AF14">
        <f>IF(AF$6=1,'Default Battery Chemistry'!$B10,IF(AF$6=2,'Default Battery Chemistry'!$C10,IF(AF$6=3,'Default Battery Chemistry'!$D10,"unknown")))</f>
        <v>43.484375</v>
      </c>
      <c r="AG14">
        <v>43.484375</v>
      </c>
      <c r="AH14">
        <v>43.484375</v>
      </c>
      <c r="AI14">
        <v>43.484375</v>
      </c>
      <c r="AJ14">
        <v>43.484375</v>
      </c>
      <c r="AK14">
        <f>IF(AK$6=1,'Default Battery Chemistry'!$B10,IF(AK$6=2,'Default Battery Chemistry'!$C10,IF(AK$6=3,'Default Battery Chemistry'!$D10,"unknown")))</f>
        <v>43.484375</v>
      </c>
      <c r="AL14">
        <f>IF(AL$6=1,'Default Battery Chemistry'!$B10,IF(AL$6=2,'Default Battery Chemistry'!$C10,IF(AL$6=3,'Default Battery Chemistry'!$D10,"unknown")))</f>
        <v>43.484375</v>
      </c>
      <c r="AM14">
        <f>IF(AM$6=1,'Default Battery Chemistry'!$B10,IF(AM$6=2,'Default Battery Chemistry'!$C10,IF(AM$6=3,'Default Battery Chemistry'!$D10,"unknown")))</f>
        <v>43.484375</v>
      </c>
      <c r="AN14">
        <f>IF(AN$6=1,'Default Battery Chemistry'!$B10,IF(AN$6=2,'Default Battery Chemistry'!$C10,IF(AN$6=3,'Default Battery Chemistry'!$D10,"unknown")))</f>
        <v>43.484375</v>
      </c>
      <c r="AO14">
        <f>IF(AO$6=1,'Default Battery Chemistry'!$B10,IF(AO$6=2,'Default Battery Chemistry'!$C10,IF(AO$6=3,'Default Battery Chemistry'!$D10,"unknown")))</f>
        <v>43.484375</v>
      </c>
      <c r="AP14">
        <f>IF(AP$6=1,'Default Battery Chemistry'!$B10,IF(AP$6=2,'Default Battery Chemistry'!$C10,IF(AP$6=3,'Default Battery Chemistry'!$D10,"unknown")))</f>
        <v>43.484375</v>
      </c>
      <c r="AQ14">
        <f>IF(AQ$6=1,'Default Battery Chemistry'!$B10,IF(AQ$6=2,'Default Battery Chemistry'!$C10,IF(AQ$6=3,'Default Battery Chemistry'!$D10,"unknown")))</f>
        <v>43.484375</v>
      </c>
      <c r="AR14">
        <f>IF(AR$6=1,'Default Battery Chemistry'!$B10,IF(AR$6=2,'Default Battery Chemistry'!$C10,IF(AR$6=3,'Default Battery Chemistry'!$D10,"unknown")))</f>
        <v>43.484375</v>
      </c>
      <c r="AS14">
        <v>43.484375</v>
      </c>
      <c r="AT14" s="4">
        <v>43.1953125</v>
      </c>
      <c r="AU14" s="4">
        <f>IF(AU$6=1,'Default Battery Chemistry'!$B10,IF(AU$6=2,'Default Battery Chemistry'!$C10,IF(AU$6=3,'Default Battery Chemistry'!$D10,"unknown")))</f>
        <v>43.484375</v>
      </c>
      <c r="AV14" s="4">
        <f>IF(AV$6=1,'Default Battery Chemistry'!$B10,IF(AV$6=2,'Default Battery Chemistry'!$C10,IF(AV$6=3,'Default Battery Chemistry'!$D10,"unknown")))</f>
        <v>43.484375</v>
      </c>
      <c r="AW14" s="4">
        <f>IF(AW$6=1,'Default Battery Chemistry'!$B10,IF(AW$6=2,'Default Battery Chemistry'!$C10,IF(AW$6=3,'Default Battery Chemistry'!$D10,"unknown")))</f>
        <v>43.484375</v>
      </c>
      <c r="AX14" s="4">
        <f>IF(AX$6=1,'Default Battery Chemistry'!$B10,IF(AX$6=2,'Default Battery Chemistry'!$C10,IF(AX$6=3,'Default Battery Chemistry'!$D10,"unknown")))</f>
        <v>43.484375</v>
      </c>
      <c r="AY14" s="4">
        <v>46.1953125</v>
      </c>
      <c r="AZ14" s="4">
        <f>IF(AZ$6=1,'Default Battery Chemistry'!$B10,IF(AZ$6=2,'Default Battery Chemistry'!$C10,IF(AZ$6=3,'Default Battery Chemistry'!$D10,"unknown")))</f>
        <v>43.484375</v>
      </c>
      <c r="BA14" s="4">
        <f>IF(BA$6=1,'Default Battery Chemistry'!$B10,IF(BA$6=2,'Default Battery Chemistry'!$C10,IF(BA$6=3,'Default Battery Chemistry'!$D10,"unknown")))</f>
        <v>43.484375</v>
      </c>
      <c r="BB14" s="4">
        <v>43.484375</v>
      </c>
      <c r="BC14" s="4">
        <f>IF(BC$6=1,'Default Battery Chemistry'!$B10,IF(BC$6=2,'Default Battery Chemistry'!$C10,IF(BC$6=3,'Default Battery Chemistry'!$D10,"unknown")))</f>
        <v>43.484375</v>
      </c>
      <c r="BD14" s="4">
        <v>43.484375</v>
      </c>
      <c r="BE14" s="4">
        <v>43.484375</v>
      </c>
      <c r="BF14" s="4">
        <f>IF(BF$6=1,'Default Battery Chemistry'!$B10,IF(BF$6=2,'Default Battery Chemistry'!$C10,IF(BF$6=3,'Default Battery Chemistry'!$D10,"unknown")))</f>
        <v>41.3359375</v>
      </c>
      <c r="BG14">
        <f>IF(BG$6=1,'Default Battery Chemistry'!$B10,IF(BG$6=2,'Default Battery Chemistry'!$C10,IF(BG$6=3,'Default Battery Chemistry'!$D10,"unknown")))</f>
        <v>41.3359375</v>
      </c>
      <c r="BH14" s="4" t="str">
        <f t="shared" si="5"/>
        <v>unknown</v>
      </c>
      <c r="CB14">
        <f>$C$69</f>
        <v>43.1953125</v>
      </c>
    </row>
    <row r="15" spans="1:80" x14ac:dyDescent="0.3">
      <c r="A15" t="str">
        <f t="shared" si="3"/>
        <v xml:space="preserve">                &lt;ParameterValue&gt;0&lt;/ParameterValue&gt;</v>
      </c>
      <c r="B15" t="s">
        <v>43</v>
      </c>
      <c r="C15">
        <f>VLOOKUP(E13,$F$4:$AAN$37,$H$1+4)</f>
        <v>0</v>
      </c>
      <c r="D15" t="s">
        <v>44</v>
      </c>
      <c r="F15">
        <v>12</v>
      </c>
      <c r="G15" s="3">
        <v>343</v>
      </c>
      <c r="H15" t="s">
        <v>5</v>
      </c>
      <c r="I15">
        <f>IF(I$6=1,'Default Battery Chemistry'!$B11,IF(I$6=2,'Default Battery Chemistry'!$C11,IF(I$6=3,'Default Battery Chemistry'!$D11,"unknown")))</f>
        <v>40.6953125</v>
      </c>
      <c r="J15">
        <f t="shared" si="7"/>
        <v>42.7265625</v>
      </c>
      <c r="K15">
        <f t="shared" si="7"/>
        <v>42.7265625</v>
      </c>
      <c r="L15">
        <f t="shared" si="7"/>
        <v>42.7265625</v>
      </c>
      <c r="M15">
        <f t="shared" si="7"/>
        <v>42.7265625</v>
      </c>
      <c r="N15">
        <f t="shared" si="7"/>
        <v>42.7265625</v>
      </c>
      <c r="O15">
        <f t="shared" si="7"/>
        <v>42.7265625</v>
      </c>
      <c r="P15">
        <v>42.7265625</v>
      </c>
      <c r="Q15">
        <v>42.7265625</v>
      </c>
      <c r="R15">
        <f>IF(R$6=1,'Default Battery Chemistry'!$B11,IF(R$6=2,'Default Battery Chemistry'!$C11,IF(R$6=3,'Default Battery Chemistry'!$D11,"unknown")))</f>
        <v>41.3359375</v>
      </c>
      <c r="S15">
        <f>IF(S$6=1,'Default Battery Chemistry'!$B11,IF(S$6=2,'Default Battery Chemistry'!$C11,IF(S$6=3,'Default Battery Chemistry'!$D11,"unknown")))</f>
        <v>42.7265625</v>
      </c>
      <c r="T15">
        <f>IF(T$6=1,'Default Battery Chemistry'!$B11,IF(T$6=2,'Default Battery Chemistry'!$C11,IF(T$6=3,'Default Battery Chemistry'!$D11,"unknown")))</f>
        <v>42.7265625</v>
      </c>
      <c r="U15">
        <f>IF(U$6=1,'Default Battery Chemistry'!$B11,IF(U$6=2,'Default Battery Chemistry'!$C11,IF(U$6=3,'Default Battery Chemistry'!$D11,"unknown")))</f>
        <v>42.7265625</v>
      </c>
      <c r="V15">
        <f>IF(V$6=1,'Default Battery Chemistry'!$B11,IF(V$6=2,'Default Battery Chemistry'!$C11,IF(V$6=3,'Default Battery Chemistry'!$D11,"unknown")))</f>
        <v>42.7265625</v>
      </c>
      <c r="W15">
        <f t="shared" si="4"/>
        <v>42.7265625</v>
      </c>
      <c r="X15">
        <f t="shared" si="6"/>
        <v>42.7265625</v>
      </c>
      <c r="Y15">
        <f>IF(Y$6=1,'Default Battery Chemistry'!$B11,IF(Y$6=2,'Default Battery Chemistry'!$C11,IF(Y$6=3,'Default Battery Chemistry'!$D11,"unknown")))</f>
        <v>42.7265625</v>
      </c>
      <c r="Z15">
        <f>IF(Z$6=1,'Default Battery Chemistry'!$B11,IF(Z$6=2,'Default Battery Chemistry'!$C11,IF(Z$6=3,'Default Battery Chemistry'!$D11,"unknown")))</f>
        <v>42.7265625</v>
      </c>
      <c r="AA15">
        <f>IF(AA$6=1,'Default Battery Chemistry'!$B11,IF(AA$6=2,'Default Battery Chemistry'!$C11,IF(AA$6=3,'Default Battery Chemistry'!$D11,"unknown")))</f>
        <v>42.7265625</v>
      </c>
      <c r="AB15">
        <f>IF(AB$6=1,'Default Battery Chemistry'!$B11,IF(AB$6=2,'Default Battery Chemistry'!$C11,IF(AB$6=3,'Default Battery Chemistry'!$D11,"unknown")))</f>
        <v>42.7265625</v>
      </c>
      <c r="AC15">
        <f>IF(AC$6=1,'Default Battery Chemistry'!$B11,IF(AC$6=2,'Default Battery Chemistry'!$C11,IF(AC$6=3,'Default Battery Chemistry'!$D11,"unknown")))</f>
        <v>42.7265625</v>
      </c>
      <c r="AD15">
        <f>IF(AD$6=1,'Default Battery Chemistry'!$B11,IF(AD$6=2,'Default Battery Chemistry'!$C11,IF(AD$6=3,'Default Battery Chemistry'!$D11,"unknown")))</f>
        <v>42.7265625</v>
      </c>
      <c r="AE15">
        <v>42.7265625</v>
      </c>
      <c r="AF15">
        <f>IF(AF$6=1,'Default Battery Chemistry'!$B11,IF(AF$6=2,'Default Battery Chemistry'!$C11,IF(AF$6=3,'Default Battery Chemistry'!$D11,"unknown")))</f>
        <v>42.7265625</v>
      </c>
      <c r="AG15">
        <v>42.7265625</v>
      </c>
      <c r="AH15">
        <v>42.7265625</v>
      </c>
      <c r="AI15">
        <v>42.7265625</v>
      </c>
      <c r="AJ15">
        <v>42.7265625</v>
      </c>
      <c r="AK15">
        <f>IF(AK$6=1,'Default Battery Chemistry'!$B11,IF(AK$6=2,'Default Battery Chemistry'!$C11,IF(AK$6=3,'Default Battery Chemistry'!$D11,"unknown")))</f>
        <v>42.7265625</v>
      </c>
      <c r="AL15">
        <f>IF(AL$6=1,'Default Battery Chemistry'!$B11,IF(AL$6=2,'Default Battery Chemistry'!$C11,IF(AL$6=3,'Default Battery Chemistry'!$D11,"unknown")))</f>
        <v>42.7265625</v>
      </c>
      <c r="AM15">
        <f>IF(AM$6=1,'Default Battery Chemistry'!$B11,IF(AM$6=2,'Default Battery Chemistry'!$C11,IF(AM$6=3,'Default Battery Chemistry'!$D11,"unknown")))</f>
        <v>42.7265625</v>
      </c>
      <c r="AN15">
        <f>IF(AN$6=1,'Default Battery Chemistry'!$B11,IF(AN$6=2,'Default Battery Chemistry'!$C11,IF(AN$6=3,'Default Battery Chemistry'!$D11,"unknown")))</f>
        <v>42.7265625</v>
      </c>
      <c r="AO15">
        <f>IF(AO$6=1,'Default Battery Chemistry'!$B11,IF(AO$6=2,'Default Battery Chemistry'!$C11,IF(AO$6=3,'Default Battery Chemistry'!$D11,"unknown")))</f>
        <v>42.7265625</v>
      </c>
      <c r="AP15">
        <f>IF(AP$6=1,'Default Battery Chemistry'!$B11,IF(AP$6=2,'Default Battery Chemistry'!$C11,IF(AP$6=3,'Default Battery Chemistry'!$D11,"unknown")))</f>
        <v>42.7265625</v>
      </c>
      <c r="AQ15">
        <f>IF(AQ$6=1,'Default Battery Chemistry'!$B11,IF(AQ$6=2,'Default Battery Chemistry'!$C11,IF(AQ$6=3,'Default Battery Chemistry'!$D11,"unknown")))</f>
        <v>42.7265625</v>
      </c>
      <c r="AR15">
        <f>IF(AR$6=1,'Default Battery Chemistry'!$B11,IF(AR$6=2,'Default Battery Chemistry'!$C11,IF(AR$6=3,'Default Battery Chemistry'!$D11,"unknown")))</f>
        <v>42.7265625</v>
      </c>
      <c r="AS15">
        <v>42.7265625</v>
      </c>
      <c r="AT15" s="4">
        <v>40.6953125</v>
      </c>
      <c r="AU15" s="4">
        <f>IF(AU$6=1,'Default Battery Chemistry'!$B11,IF(AU$6=2,'Default Battery Chemistry'!$C11,IF(AU$6=3,'Default Battery Chemistry'!$D11,"unknown")))</f>
        <v>42.7265625</v>
      </c>
      <c r="AV15" s="4">
        <f>IF(AV$6=1,'Default Battery Chemistry'!$B11,IF(AV$6=2,'Default Battery Chemistry'!$C11,IF(AV$6=3,'Default Battery Chemistry'!$D11,"unknown")))</f>
        <v>42.7265625</v>
      </c>
      <c r="AW15" s="4">
        <f>IF(AW$6=1,'Default Battery Chemistry'!$B11,IF(AW$6=2,'Default Battery Chemistry'!$C11,IF(AW$6=3,'Default Battery Chemistry'!$D11,"unknown")))</f>
        <v>42.7265625</v>
      </c>
      <c r="AX15" s="4">
        <f>IF(AX$6=1,'Default Battery Chemistry'!$B11,IF(AX$6=2,'Default Battery Chemistry'!$C11,IF(AX$6=3,'Default Battery Chemistry'!$D11,"unknown")))</f>
        <v>42.7265625</v>
      </c>
      <c r="AY15" s="4">
        <v>45.2890625</v>
      </c>
      <c r="AZ15" s="4">
        <f>IF(AZ$6=1,'Default Battery Chemistry'!$B11,IF(AZ$6=2,'Default Battery Chemistry'!$C11,IF(AZ$6=3,'Default Battery Chemistry'!$D11,"unknown")))</f>
        <v>42.7265625</v>
      </c>
      <c r="BA15" s="4">
        <f>IF(BA$6=1,'Default Battery Chemistry'!$B11,IF(BA$6=2,'Default Battery Chemistry'!$C11,IF(BA$6=3,'Default Battery Chemistry'!$D11,"unknown")))</f>
        <v>42.7265625</v>
      </c>
      <c r="BB15" s="4">
        <v>42.7265625</v>
      </c>
      <c r="BC15" s="4">
        <f>IF(BC$6=1,'Default Battery Chemistry'!$B11,IF(BC$6=2,'Default Battery Chemistry'!$C11,IF(BC$6=3,'Default Battery Chemistry'!$D11,"unknown")))</f>
        <v>42.7265625</v>
      </c>
      <c r="BD15" s="4">
        <v>42.7265625</v>
      </c>
      <c r="BE15" s="4">
        <v>42.7265625</v>
      </c>
      <c r="BF15" s="4">
        <f>IF(BF$6=1,'Default Battery Chemistry'!$B11,IF(BF$6=2,'Default Battery Chemistry'!$C11,IF(BF$6=3,'Default Battery Chemistry'!$D11,"unknown")))</f>
        <v>41.3359375</v>
      </c>
      <c r="BG15">
        <f>IF(BG$6=1,'Default Battery Chemistry'!$B11,IF(BG$6=2,'Default Battery Chemistry'!$C11,IF(BG$6=3,'Default Battery Chemistry'!$D11,"unknown")))</f>
        <v>41.3359375</v>
      </c>
      <c r="BH15" s="4" t="str">
        <f t="shared" si="5"/>
        <v>unknown</v>
      </c>
      <c r="CB15">
        <f>$C$75</f>
        <v>40.6953125</v>
      </c>
    </row>
    <row r="16" spans="1:80" x14ac:dyDescent="0.3">
      <c r="A16" t="str">
        <f t="shared" si="3"/>
        <v xml:space="preserve">            &lt;/ParameterFileItem&gt;</v>
      </c>
      <c r="B16" t="s">
        <v>33</v>
      </c>
      <c r="F16">
        <v>13</v>
      </c>
      <c r="G16" s="3">
        <v>344</v>
      </c>
      <c r="H16" t="s">
        <v>6</v>
      </c>
      <c r="I16">
        <f>IF(I$6=1,'Default Battery Chemistry'!$B12,IF(I$6=2,'Default Battery Chemistry'!$C12,IF(I$6=3,'Default Battery Chemistry'!$D12,"unknown")))</f>
        <v>47</v>
      </c>
      <c r="J16">
        <f t="shared" si="7"/>
        <v>43.499999999999993</v>
      </c>
      <c r="K16">
        <f t="shared" si="7"/>
        <v>43.499999999999993</v>
      </c>
      <c r="L16">
        <f t="shared" si="7"/>
        <v>43.499999999999993</v>
      </c>
      <c r="M16">
        <f t="shared" si="7"/>
        <v>43.499999999999993</v>
      </c>
      <c r="N16">
        <f t="shared" si="7"/>
        <v>43.499999999999993</v>
      </c>
      <c r="O16">
        <f t="shared" si="7"/>
        <v>43.499999999999993</v>
      </c>
      <c r="P16">
        <v>43.499999999999993</v>
      </c>
      <c r="Q16">
        <v>43.499999999999993</v>
      </c>
      <c r="R16">
        <f>IF(R$6=1,'Default Battery Chemistry'!$B12,IF(R$6=2,'Default Battery Chemistry'!$C12,IF(R$6=3,'Default Battery Chemistry'!$D12,"unknown")))</f>
        <v>40</v>
      </c>
      <c r="S16">
        <f>IF(S$6=1,'Default Battery Chemistry'!$B12,IF(S$6=2,'Default Battery Chemistry'!$C12,IF(S$6=3,'Default Battery Chemistry'!$D12,"unknown")))</f>
        <v>43.499999999999993</v>
      </c>
      <c r="T16">
        <f>IF(T$6=1,'Default Battery Chemistry'!$B12,IF(T$6=2,'Default Battery Chemistry'!$C12,IF(T$6=3,'Default Battery Chemistry'!$D12,"unknown")))</f>
        <v>43.499999999999993</v>
      </c>
      <c r="U16">
        <f>IF(U$6=1,'Default Battery Chemistry'!$B12,IF(U$6=2,'Default Battery Chemistry'!$C12,IF(U$6=3,'Default Battery Chemistry'!$D12,"unknown")))</f>
        <v>43.499999999999993</v>
      </c>
      <c r="V16">
        <f>IF(V$6=1,'Default Battery Chemistry'!$B12,IF(V$6=2,'Default Battery Chemistry'!$C12,IF(V$6=3,'Default Battery Chemistry'!$D12,"unknown")))</f>
        <v>43.499999999999993</v>
      </c>
      <c r="W16">
        <f t="shared" si="4"/>
        <v>43.499999999999993</v>
      </c>
      <c r="X16">
        <f t="shared" si="6"/>
        <v>43.499999999999993</v>
      </c>
      <c r="Y16">
        <f>IF(Y$6=1,'Default Battery Chemistry'!$B12,IF(Y$6=2,'Default Battery Chemistry'!$C12,IF(Y$6=3,'Default Battery Chemistry'!$D12,"unknown")))</f>
        <v>43.499999999999993</v>
      </c>
      <c r="Z16">
        <f>IF(Z$6=1,'Default Battery Chemistry'!$B12,IF(Z$6=2,'Default Battery Chemistry'!$C12,IF(Z$6=3,'Default Battery Chemistry'!$D12,"unknown")))</f>
        <v>43.499999999999993</v>
      </c>
      <c r="AA16">
        <f>IF(AA$6=1,'Default Battery Chemistry'!$B12,IF(AA$6=2,'Default Battery Chemistry'!$C12,IF(AA$6=3,'Default Battery Chemistry'!$D12,"unknown")))</f>
        <v>43.499999999999993</v>
      </c>
      <c r="AB16">
        <f>IF(AB$6=1,'Default Battery Chemistry'!$B12,IF(AB$6=2,'Default Battery Chemistry'!$C12,IF(AB$6=3,'Default Battery Chemistry'!$D12,"unknown")))</f>
        <v>43.499999999999993</v>
      </c>
      <c r="AC16">
        <f>IF(AC$6=1,'Default Battery Chemistry'!$B12,IF(AC$6=2,'Default Battery Chemistry'!$C12,IF(AC$6=3,'Default Battery Chemistry'!$D12,"unknown")))</f>
        <v>43.499999999999993</v>
      </c>
      <c r="AD16">
        <f>IF(AD$6=1,'Default Battery Chemistry'!$B12,IF(AD$6=2,'Default Battery Chemistry'!$C12,IF(AD$6=3,'Default Battery Chemistry'!$D12,"unknown")))</f>
        <v>43.499999999999993</v>
      </c>
      <c r="AE16">
        <v>43.499999999999993</v>
      </c>
      <c r="AF16">
        <f>IF(AF$6=1,'Default Battery Chemistry'!$B12,IF(AF$6=2,'Default Battery Chemistry'!$C12,IF(AF$6=3,'Default Battery Chemistry'!$D12,"unknown")))</f>
        <v>43.499999999999993</v>
      </c>
      <c r="AG16">
        <v>43.5</v>
      </c>
      <c r="AH16">
        <v>43.499999999999993</v>
      </c>
      <c r="AI16">
        <v>43.499999999999993</v>
      </c>
      <c r="AJ16">
        <v>43.499999999999993</v>
      </c>
      <c r="AK16">
        <f>IF(AK$6=1,'Default Battery Chemistry'!$B12,IF(AK$6=2,'Default Battery Chemistry'!$C12,IF(AK$6=3,'Default Battery Chemistry'!$D12,"unknown")))</f>
        <v>43.499999999999993</v>
      </c>
      <c r="AL16">
        <f>IF(AL$6=1,'Default Battery Chemistry'!$B12,IF(AL$6=2,'Default Battery Chemistry'!$C12,IF(AL$6=3,'Default Battery Chemistry'!$D12,"unknown")))</f>
        <v>43.499999999999993</v>
      </c>
      <c r="AM16">
        <f>IF(AM$6=1,'Default Battery Chemistry'!$B12,IF(AM$6=2,'Default Battery Chemistry'!$C12,IF(AM$6=3,'Default Battery Chemistry'!$D12,"unknown")))</f>
        <v>43.499999999999993</v>
      </c>
      <c r="AN16">
        <f>IF(AN$6=1,'Default Battery Chemistry'!$B12,IF(AN$6=2,'Default Battery Chemistry'!$C12,IF(AN$6=3,'Default Battery Chemistry'!$D12,"unknown")))</f>
        <v>43.499999999999993</v>
      </c>
      <c r="AO16">
        <f>IF(AO$6=1,'Default Battery Chemistry'!$B12,IF(AO$6=2,'Default Battery Chemistry'!$C12,IF(AO$6=3,'Default Battery Chemistry'!$D12,"unknown")))</f>
        <v>43.499999999999993</v>
      </c>
      <c r="AP16">
        <f>IF(AP$6=1,'Default Battery Chemistry'!$B12,IF(AP$6=2,'Default Battery Chemistry'!$C12,IF(AP$6=3,'Default Battery Chemistry'!$D12,"unknown")))</f>
        <v>43.499999999999993</v>
      </c>
      <c r="AQ16">
        <f>IF(AQ$6=1,'Default Battery Chemistry'!$B12,IF(AQ$6=2,'Default Battery Chemistry'!$C12,IF(AQ$6=3,'Default Battery Chemistry'!$D12,"unknown")))</f>
        <v>43.499999999999993</v>
      </c>
      <c r="AR16">
        <f>IF(AR$6=1,'Default Battery Chemistry'!$B12,IF(AR$6=2,'Default Battery Chemistry'!$C12,IF(AR$6=3,'Default Battery Chemistry'!$D12,"unknown")))</f>
        <v>43.499999999999993</v>
      </c>
      <c r="AS16">
        <v>43.499999999999993</v>
      </c>
      <c r="AT16" s="4">
        <v>47</v>
      </c>
      <c r="AU16" s="4">
        <f>IF(AU$6=1,'Default Battery Chemistry'!$B12,IF(AU$6=2,'Default Battery Chemistry'!$C12,IF(AU$6=3,'Default Battery Chemistry'!$D12,"unknown")))</f>
        <v>43.499999999999993</v>
      </c>
      <c r="AV16" s="4">
        <f>IF(AV$6=1,'Default Battery Chemistry'!$B12,IF(AV$6=2,'Default Battery Chemistry'!$C12,IF(AV$6=3,'Default Battery Chemistry'!$D12,"unknown")))</f>
        <v>43.499999999999993</v>
      </c>
      <c r="AW16" s="4">
        <f>IF(AW$6=1,'Default Battery Chemistry'!$B12,IF(AW$6=2,'Default Battery Chemistry'!$C12,IF(AW$6=3,'Default Battery Chemistry'!$D12,"unknown")))</f>
        <v>43.499999999999993</v>
      </c>
      <c r="AX16" s="4">
        <f>IF(AX$6=1,'Default Battery Chemistry'!$B12,IF(AX$6=2,'Default Battery Chemistry'!$C12,IF(AX$6=3,'Default Battery Chemistry'!$D12,"unknown")))</f>
        <v>43.499999999999993</v>
      </c>
      <c r="AY16" s="4">
        <v>46.6328125</v>
      </c>
      <c r="AZ16" s="4">
        <f>IF(AZ$6=1,'Default Battery Chemistry'!$B12,IF(AZ$6=2,'Default Battery Chemistry'!$C12,IF(AZ$6=3,'Default Battery Chemistry'!$D12,"unknown")))</f>
        <v>43.499999999999993</v>
      </c>
      <c r="BA16" s="4">
        <f>IF(BA$6=1,'Default Battery Chemistry'!$B12,IF(BA$6=2,'Default Battery Chemistry'!$C12,IF(BA$6=3,'Default Battery Chemistry'!$D12,"unknown")))</f>
        <v>43.499999999999993</v>
      </c>
      <c r="BB16" s="4">
        <v>43.499999999999993</v>
      </c>
      <c r="BC16" s="4">
        <f>IF(BC$6=1,'Default Battery Chemistry'!$B12,IF(BC$6=2,'Default Battery Chemistry'!$C12,IF(BC$6=3,'Default Battery Chemistry'!$D12,"unknown")))</f>
        <v>43.499999999999993</v>
      </c>
      <c r="BD16" s="4">
        <v>43.499999999999993</v>
      </c>
      <c r="BE16" s="4">
        <v>43.499999999999993</v>
      </c>
      <c r="BF16" s="4">
        <f>IF(BF$6=1,'Default Battery Chemistry'!$B12,IF(BF$6=2,'Default Battery Chemistry'!$C12,IF(BF$6=3,'Default Battery Chemistry'!$D12,"unknown")))</f>
        <v>40</v>
      </c>
      <c r="BG16">
        <f>IF(BG$6=1,'Default Battery Chemistry'!$B12,IF(BG$6=2,'Default Battery Chemistry'!$C12,IF(BG$6=3,'Default Battery Chemistry'!$D12,"unknown")))</f>
        <v>40</v>
      </c>
      <c r="BH16" s="4" t="str">
        <f t="shared" si="5"/>
        <v>unknown</v>
      </c>
      <c r="CB16">
        <f>$C$81</f>
        <v>47</v>
      </c>
    </row>
    <row r="17" spans="1:80" x14ac:dyDescent="0.3">
      <c r="A17" t="str">
        <f t="shared" si="3"/>
        <v xml:space="preserve">            &lt;ParameterFileItem&gt;</v>
      </c>
      <c r="B17" t="s">
        <v>31</v>
      </c>
      <c r="F17">
        <v>14</v>
      </c>
      <c r="G17" s="3">
        <v>345</v>
      </c>
      <c r="H17" t="s">
        <v>7</v>
      </c>
      <c r="I17">
        <f>IF(I$6=1,'Default Battery Chemistry'!$B13,IF(I$6=2,'Default Battery Chemistry'!$C13,IF(I$6=3,'Default Battery Chemistry'!$D13,"unknown")))</f>
        <v>45.9140625</v>
      </c>
      <c r="J17">
        <f t="shared" si="7"/>
        <v>43.2421875</v>
      </c>
      <c r="K17">
        <f t="shared" si="7"/>
        <v>43.2421875</v>
      </c>
      <c r="L17">
        <f t="shared" si="7"/>
        <v>43.2421875</v>
      </c>
      <c r="M17">
        <f t="shared" si="7"/>
        <v>43.2421875</v>
      </c>
      <c r="N17">
        <f t="shared" si="7"/>
        <v>43.2421875</v>
      </c>
      <c r="O17">
        <f t="shared" si="7"/>
        <v>43.2421875</v>
      </c>
      <c r="P17">
        <v>43.2421875</v>
      </c>
      <c r="Q17">
        <v>43.2421875</v>
      </c>
      <c r="R17">
        <f>IF(R$6=1,'Default Battery Chemistry'!$B13,IF(R$6=2,'Default Battery Chemistry'!$C13,IF(R$6=3,'Default Battery Chemistry'!$D13,"unknown")))</f>
        <v>40</v>
      </c>
      <c r="S17">
        <f>IF(S$6=1,'Default Battery Chemistry'!$B13,IF(S$6=2,'Default Battery Chemistry'!$C13,IF(S$6=3,'Default Battery Chemistry'!$D13,"unknown")))</f>
        <v>43.2421875</v>
      </c>
      <c r="T17">
        <f>IF(T$6=1,'Default Battery Chemistry'!$B13,IF(T$6=2,'Default Battery Chemistry'!$C13,IF(T$6=3,'Default Battery Chemistry'!$D13,"unknown")))</f>
        <v>43.2421875</v>
      </c>
      <c r="U17">
        <f>IF(U$6=1,'Default Battery Chemistry'!$B13,IF(U$6=2,'Default Battery Chemistry'!$C13,IF(U$6=3,'Default Battery Chemistry'!$D13,"unknown")))</f>
        <v>43.2421875</v>
      </c>
      <c r="V17">
        <f>IF(V$6=1,'Default Battery Chemistry'!$B13,IF(V$6=2,'Default Battery Chemistry'!$C13,IF(V$6=3,'Default Battery Chemistry'!$D13,"unknown")))</f>
        <v>43.2421875</v>
      </c>
      <c r="W17">
        <f t="shared" si="4"/>
        <v>43.2421875</v>
      </c>
      <c r="X17">
        <f t="shared" si="6"/>
        <v>43.2421875</v>
      </c>
      <c r="Y17">
        <f>IF(Y$6=1,'Default Battery Chemistry'!$B13,IF(Y$6=2,'Default Battery Chemistry'!$C13,IF(Y$6=3,'Default Battery Chemistry'!$D13,"unknown")))</f>
        <v>43.2421875</v>
      </c>
      <c r="Z17">
        <f>IF(Z$6=1,'Default Battery Chemistry'!$B13,IF(Z$6=2,'Default Battery Chemistry'!$C13,IF(Z$6=3,'Default Battery Chemistry'!$D13,"unknown")))</f>
        <v>43.2421875</v>
      </c>
      <c r="AA17">
        <f>IF(AA$6=1,'Default Battery Chemistry'!$B13,IF(AA$6=2,'Default Battery Chemistry'!$C13,IF(AA$6=3,'Default Battery Chemistry'!$D13,"unknown")))</f>
        <v>43.2421875</v>
      </c>
      <c r="AB17">
        <f>IF(AB$6=1,'Default Battery Chemistry'!$B13,IF(AB$6=2,'Default Battery Chemistry'!$C13,IF(AB$6=3,'Default Battery Chemistry'!$D13,"unknown")))</f>
        <v>43.2421875</v>
      </c>
      <c r="AC17">
        <f>IF(AC$6=1,'Default Battery Chemistry'!$B13,IF(AC$6=2,'Default Battery Chemistry'!$C13,IF(AC$6=3,'Default Battery Chemistry'!$D13,"unknown")))</f>
        <v>43.2421875</v>
      </c>
      <c r="AD17">
        <f>IF(AD$6=1,'Default Battery Chemistry'!$B13,IF(AD$6=2,'Default Battery Chemistry'!$C13,IF(AD$6=3,'Default Battery Chemistry'!$D13,"unknown")))</f>
        <v>43.2421875</v>
      </c>
      <c r="AE17">
        <v>43.2421875</v>
      </c>
      <c r="AF17">
        <f>IF(AF$6=1,'Default Battery Chemistry'!$B13,IF(AF$6=2,'Default Battery Chemistry'!$C13,IF(AF$6=3,'Default Battery Chemistry'!$D13,"unknown")))</f>
        <v>43.2421875</v>
      </c>
      <c r="AG17">
        <v>43.2421875</v>
      </c>
      <c r="AH17">
        <v>43.2421875</v>
      </c>
      <c r="AI17">
        <v>43.2421875</v>
      </c>
      <c r="AJ17">
        <v>43.2421875</v>
      </c>
      <c r="AK17">
        <f>IF(AK$6=1,'Default Battery Chemistry'!$B13,IF(AK$6=2,'Default Battery Chemistry'!$C13,IF(AK$6=3,'Default Battery Chemistry'!$D13,"unknown")))</f>
        <v>43.2421875</v>
      </c>
      <c r="AL17">
        <f>IF(AL$6=1,'Default Battery Chemistry'!$B13,IF(AL$6=2,'Default Battery Chemistry'!$C13,IF(AL$6=3,'Default Battery Chemistry'!$D13,"unknown")))</f>
        <v>43.2421875</v>
      </c>
      <c r="AM17">
        <f>IF(AM$6=1,'Default Battery Chemistry'!$B13,IF(AM$6=2,'Default Battery Chemistry'!$C13,IF(AM$6=3,'Default Battery Chemistry'!$D13,"unknown")))</f>
        <v>43.2421875</v>
      </c>
      <c r="AN17">
        <f>IF(AN$6=1,'Default Battery Chemistry'!$B13,IF(AN$6=2,'Default Battery Chemistry'!$C13,IF(AN$6=3,'Default Battery Chemistry'!$D13,"unknown")))</f>
        <v>43.2421875</v>
      </c>
      <c r="AO17">
        <f>IF(AO$6=1,'Default Battery Chemistry'!$B13,IF(AO$6=2,'Default Battery Chemistry'!$C13,IF(AO$6=3,'Default Battery Chemistry'!$D13,"unknown")))</f>
        <v>43.2421875</v>
      </c>
      <c r="AP17">
        <f>IF(AP$6=1,'Default Battery Chemistry'!$B13,IF(AP$6=2,'Default Battery Chemistry'!$C13,IF(AP$6=3,'Default Battery Chemistry'!$D13,"unknown")))</f>
        <v>43.2421875</v>
      </c>
      <c r="AQ17">
        <f>IF(AQ$6=1,'Default Battery Chemistry'!$B13,IF(AQ$6=2,'Default Battery Chemistry'!$C13,IF(AQ$6=3,'Default Battery Chemistry'!$D13,"unknown")))</f>
        <v>43.2421875</v>
      </c>
      <c r="AR17">
        <f>IF(AR$6=1,'Default Battery Chemistry'!$B13,IF(AR$6=2,'Default Battery Chemistry'!$C13,IF(AR$6=3,'Default Battery Chemistry'!$D13,"unknown")))</f>
        <v>43.2421875</v>
      </c>
      <c r="AS17">
        <v>43.2421875</v>
      </c>
      <c r="AT17" s="4">
        <v>45.9140625</v>
      </c>
      <c r="AU17" s="4">
        <f>IF(AU$6=1,'Default Battery Chemistry'!$B13,IF(AU$6=2,'Default Battery Chemistry'!$C13,IF(AU$6=3,'Default Battery Chemistry'!$D13,"unknown")))</f>
        <v>43.2421875</v>
      </c>
      <c r="AV17" s="4">
        <f>IF(AV$6=1,'Default Battery Chemistry'!$B13,IF(AV$6=2,'Default Battery Chemistry'!$C13,IF(AV$6=3,'Default Battery Chemistry'!$D13,"unknown")))</f>
        <v>43.2421875</v>
      </c>
      <c r="AW17" s="4">
        <f>IF(AW$6=1,'Default Battery Chemistry'!$B13,IF(AW$6=2,'Default Battery Chemistry'!$C13,IF(AW$6=3,'Default Battery Chemistry'!$D13,"unknown")))</f>
        <v>43.2421875</v>
      </c>
      <c r="AX17" s="4">
        <f>IF(AX$6=1,'Default Battery Chemistry'!$B13,IF(AX$6=2,'Default Battery Chemistry'!$C13,IF(AX$6=3,'Default Battery Chemistry'!$D13,"unknown")))</f>
        <v>43.2421875</v>
      </c>
      <c r="AY17" s="4">
        <v>43.328125</v>
      </c>
      <c r="AZ17" s="4">
        <f>IF(AZ$6=1,'Default Battery Chemistry'!$B13,IF(AZ$6=2,'Default Battery Chemistry'!$C13,IF(AZ$6=3,'Default Battery Chemistry'!$D13,"unknown")))</f>
        <v>43.2421875</v>
      </c>
      <c r="BA17" s="4">
        <f>IF(BA$6=1,'Default Battery Chemistry'!$B13,IF(BA$6=2,'Default Battery Chemistry'!$C13,IF(BA$6=3,'Default Battery Chemistry'!$D13,"unknown")))</f>
        <v>43.2421875</v>
      </c>
      <c r="BB17" s="4">
        <v>43.2421875</v>
      </c>
      <c r="BC17" s="4">
        <f>IF(BC$6=1,'Default Battery Chemistry'!$B13,IF(BC$6=2,'Default Battery Chemistry'!$C13,IF(BC$6=3,'Default Battery Chemistry'!$D13,"unknown")))</f>
        <v>43.2421875</v>
      </c>
      <c r="BD17" s="4">
        <v>43.2421875</v>
      </c>
      <c r="BE17" s="4">
        <v>43.2421875</v>
      </c>
      <c r="BF17" s="4">
        <f>IF(BF$6=1,'Default Battery Chemistry'!$B13,IF(BF$6=2,'Default Battery Chemistry'!$C13,IF(BF$6=3,'Default Battery Chemistry'!$D13,"unknown")))</f>
        <v>40</v>
      </c>
      <c r="BG17">
        <f>IF(BG$6=1,'Default Battery Chemistry'!$B13,IF(BG$6=2,'Default Battery Chemistry'!$C13,IF(BG$6=3,'Default Battery Chemistry'!$D13,"unknown")))</f>
        <v>40</v>
      </c>
      <c r="BH17" s="4" t="str">
        <f t="shared" si="5"/>
        <v>unknown</v>
      </c>
      <c r="CB17">
        <f>$C$87</f>
        <v>45.9140625</v>
      </c>
    </row>
    <row r="18" spans="1:80" x14ac:dyDescent="0.3">
      <c r="A18" t="str">
        <f t="shared" si="3"/>
        <v xml:space="preserve">                &lt;ViewType&gt;ReadOnly&lt;/ViewType&gt;</v>
      </c>
      <c r="B18" t="s">
        <v>32</v>
      </c>
      <c r="F18">
        <v>15</v>
      </c>
      <c r="G18" s="3">
        <v>346</v>
      </c>
      <c r="H18" t="s">
        <v>8</v>
      </c>
      <c r="I18">
        <f>IF(I$6=1,'Default Battery Chemistry'!$B14,IF(I$6=2,'Default Battery Chemistry'!$C14,IF(I$6=3,'Default Battery Chemistry'!$D14,"unknown")))</f>
        <v>44</v>
      </c>
      <c r="J18">
        <f t="shared" si="7"/>
        <v>42.7421875</v>
      </c>
      <c r="K18">
        <f t="shared" si="7"/>
        <v>42.7421875</v>
      </c>
      <c r="L18">
        <f t="shared" si="7"/>
        <v>42.7421875</v>
      </c>
      <c r="M18">
        <f t="shared" si="7"/>
        <v>42.7421875</v>
      </c>
      <c r="N18">
        <f t="shared" si="7"/>
        <v>42.7421875</v>
      </c>
      <c r="O18">
        <f t="shared" si="7"/>
        <v>42.7421875</v>
      </c>
      <c r="P18">
        <v>42.7421875</v>
      </c>
      <c r="Q18">
        <v>42.7421875</v>
      </c>
      <c r="R18">
        <f>IF(R$6=1,'Default Battery Chemistry'!$B14,IF(R$6=2,'Default Battery Chemistry'!$C14,IF(R$6=3,'Default Battery Chemistry'!$D14,"unknown")))</f>
        <v>40</v>
      </c>
      <c r="S18">
        <f>IF(S$6=1,'Default Battery Chemistry'!$B14,IF(S$6=2,'Default Battery Chemistry'!$C14,IF(S$6=3,'Default Battery Chemistry'!$D14,"unknown")))</f>
        <v>42.7421875</v>
      </c>
      <c r="T18">
        <f>IF(T$6=1,'Default Battery Chemistry'!$B14,IF(T$6=2,'Default Battery Chemistry'!$C14,IF(T$6=3,'Default Battery Chemistry'!$D14,"unknown")))</f>
        <v>42.7421875</v>
      </c>
      <c r="U18">
        <f>IF(U$6=1,'Default Battery Chemistry'!$B14,IF(U$6=2,'Default Battery Chemistry'!$C14,IF(U$6=3,'Default Battery Chemistry'!$D14,"unknown")))</f>
        <v>42.7421875</v>
      </c>
      <c r="V18">
        <f>IF(V$6=1,'Default Battery Chemistry'!$B14,IF(V$6=2,'Default Battery Chemistry'!$C14,IF(V$6=3,'Default Battery Chemistry'!$D14,"unknown")))</f>
        <v>42.7421875</v>
      </c>
      <c r="W18">
        <f t="shared" si="4"/>
        <v>42.7421875</v>
      </c>
      <c r="X18">
        <f t="shared" si="6"/>
        <v>42.7421875</v>
      </c>
      <c r="Y18">
        <f>IF(Y$6=1,'Default Battery Chemistry'!$B14,IF(Y$6=2,'Default Battery Chemistry'!$C14,IF(Y$6=3,'Default Battery Chemistry'!$D14,"unknown")))</f>
        <v>42.7421875</v>
      </c>
      <c r="Z18">
        <f>IF(Z$6=1,'Default Battery Chemistry'!$B14,IF(Z$6=2,'Default Battery Chemistry'!$C14,IF(Z$6=3,'Default Battery Chemistry'!$D14,"unknown")))</f>
        <v>42.7421875</v>
      </c>
      <c r="AA18">
        <f>IF(AA$6=1,'Default Battery Chemistry'!$B14,IF(AA$6=2,'Default Battery Chemistry'!$C14,IF(AA$6=3,'Default Battery Chemistry'!$D14,"unknown")))</f>
        <v>42.7421875</v>
      </c>
      <c r="AB18">
        <f>IF(AB$6=1,'Default Battery Chemistry'!$B14,IF(AB$6=2,'Default Battery Chemistry'!$C14,IF(AB$6=3,'Default Battery Chemistry'!$D14,"unknown")))</f>
        <v>42.7421875</v>
      </c>
      <c r="AC18">
        <f>IF(AC$6=1,'Default Battery Chemistry'!$B14,IF(AC$6=2,'Default Battery Chemistry'!$C14,IF(AC$6=3,'Default Battery Chemistry'!$D14,"unknown")))</f>
        <v>42.7421875</v>
      </c>
      <c r="AD18">
        <f>IF(AD$6=1,'Default Battery Chemistry'!$B14,IF(AD$6=2,'Default Battery Chemistry'!$C14,IF(AD$6=3,'Default Battery Chemistry'!$D14,"unknown")))</f>
        <v>42.7421875</v>
      </c>
      <c r="AE18">
        <v>42.7421875</v>
      </c>
      <c r="AF18">
        <f>IF(AF$6=1,'Default Battery Chemistry'!$B14,IF(AF$6=2,'Default Battery Chemistry'!$C14,IF(AF$6=3,'Default Battery Chemistry'!$D14,"unknown")))</f>
        <v>42.7421875</v>
      </c>
      <c r="AG18">
        <v>42.7421875</v>
      </c>
      <c r="AH18">
        <v>42.7421875</v>
      </c>
      <c r="AI18">
        <v>42.7421875</v>
      </c>
      <c r="AJ18">
        <v>42.7421875</v>
      </c>
      <c r="AK18">
        <f>IF(AK$6=1,'Default Battery Chemistry'!$B14,IF(AK$6=2,'Default Battery Chemistry'!$C14,IF(AK$6=3,'Default Battery Chemistry'!$D14,"unknown")))</f>
        <v>42.7421875</v>
      </c>
      <c r="AL18">
        <f>IF(AL$6=1,'Default Battery Chemistry'!$B14,IF(AL$6=2,'Default Battery Chemistry'!$C14,IF(AL$6=3,'Default Battery Chemistry'!$D14,"unknown")))</f>
        <v>42.7421875</v>
      </c>
      <c r="AM18">
        <f>IF(AM$6=1,'Default Battery Chemistry'!$B14,IF(AM$6=2,'Default Battery Chemistry'!$C14,IF(AM$6=3,'Default Battery Chemistry'!$D14,"unknown")))</f>
        <v>42.7421875</v>
      </c>
      <c r="AN18">
        <f>IF(AN$6=1,'Default Battery Chemistry'!$B14,IF(AN$6=2,'Default Battery Chemistry'!$C14,IF(AN$6=3,'Default Battery Chemistry'!$D14,"unknown")))</f>
        <v>42.7421875</v>
      </c>
      <c r="AO18">
        <f>IF(AO$6=1,'Default Battery Chemistry'!$B14,IF(AO$6=2,'Default Battery Chemistry'!$C14,IF(AO$6=3,'Default Battery Chemistry'!$D14,"unknown")))</f>
        <v>42.7421875</v>
      </c>
      <c r="AP18">
        <f>IF(AP$6=1,'Default Battery Chemistry'!$B14,IF(AP$6=2,'Default Battery Chemistry'!$C14,IF(AP$6=3,'Default Battery Chemistry'!$D14,"unknown")))</f>
        <v>42.7421875</v>
      </c>
      <c r="AQ18">
        <f>IF(AQ$6=1,'Default Battery Chemistry'!$B14,IF(AQ$6=2,'Default Battery Chemistry'!$C14,IF(AQ$6=3,'Default Battery Chemistry'!$D14,"unknown")))</f>
        <v>42.7421875</v>
      </c>
      <c r="AR18">
        <f>IF(AR$6=1,'Default Battery Chemistry'!$B14,IF(AR$6=2,'Default Battery Chemistry'!$C14,IF(AR$6=3,'Default Battery Chemistry'!$D14,"unknown")))</f>
        <v>42.7421875</v>
      </c>
      <c r="AS18">
        <v>42.7421875</v>
      </c>
      <c r="AT18" s="4">
        <v>44</v>
      </c>
      <c r="AU18" s="4">
        <f>IF(AU$6=1,'Default Battery Chemistry'!$B14,IF(AU$6=2,'Default Battery Chemistry'!$C14,IF(AU$6=3,'Default Battery Chemistry'!$D14,"unknown")))</f>
        <v>42.7421875</v>
      </c>
      <c r="AV18" s="4">
        <f>IF(AV$6=1,'Default Battery Chemistry'!$B14,IF(AV$6=2,'Default Battery Chemistry'!$C14,IF(AV$6=3,'Default Battery Chemistry'!$D14,"unknown")))</f>
        <v>42.7421875</v>
      </c>
      <c r="AW18" s="4">
        <f>IF(AW$6=1,'Default Battery Chemistry'!$B14,IF(AW$6=2,'Default Battery Chemistry'!$C14,IF(AW$6=3,'Default Battery Chemistry'!$D14,"unknown")))</f>
        <v>42.7421875</v>
      </c>
      <c r="AX18" s="4">
        <f>IF(AX$6=1,'Default Battery Chemistry'!$B14,IF(AX$6=2,'Default Battery Chemistry'!$C14,IF(AX$6=3,'Default Battery Chemistry'!$D14,"unknown")))</f>
        <v>42.7421875</v>
      </c>
      <c r="AY18" s="4">
        <v>42.734375</v>
      </c>
      <c r="AZ18" s="4">
        <f>IF(AZ$6=1,'Default Battery Chemistry'!$B14,IF(AZ$6=2,'Default Battery Chemistry'!$C14,IF(AZ$6=3,'Default Battery Chemistry'!$D14,"unknown")))</f>
        <v>42.7421875</v>
      </c>
      <c r="BA18" s="4">
        <f>IF(BA$6=1,'Default Battery Chemistry'!$B14,IF(BA$6=2,'Default Battery Chemistry'!$C14,IF(BA$6=3,'Default Battery Chemistry'!$D14,"unknown")))</f>
        <v>42.7421875</v>
      </c>
      <c r="BB18" s="4">
        <v>42.7421875</v>
      </c>
      <c r="BC18" s="4">
        <f>IF(BC$6=1,'Default Battery Chemistry'!$B14,IF(BC$6=2,'Default Battery Chemistry'!$C14,IF(BC$6=3,'Default Battery Chemistry'!$D14,"unknown")))</f>
        <v>42.7421875</v>
      </c>
      <c r="BD18" s="4">
        <v>42.7421875</v>
      </c>
      <c r="BE18" s="4">
        <v>42.7421875</v>
      </c>
      <c r="BF18" s="4">
        <f>IF(BF$6=1,'Default Battery Chemistry'!$B14,IF(BF$6=2,'Default Battery Chemistry'!$C14,IF(BF$6=3,'Default Battery Chemistry'!$D14,"unknown")))</f>
        <v>40</v>
      </c>
      <c r="BG18">
        <f>IF(BG$6=1,'Default Battery Chemistry'!$B14,IF(BG$6=2,'Default Battery Chemistry'!$C14,IF(BG$6=3,'Default Battery Chemistry'!$D14,"unknown")))</f>
        <v>40</v>
      </c>
      <c r="BH18" s="4" t="str">
        <f t="shared" si="5"/>
        <v>unknown</v>
      </c>
      <c r="CB18">
        <f>$C$93</f>
        <v>44</v>
      </c>
    </row>
    <row r="19" spans="1:80" x14ac:dyDescent="0.3">
      <c r="A19" t="str">
        <f t="shared" si="3"/>
        <v xml:space="preserve">                &lt;Address&gt;265&lt;/Address&gt;</v>
      </c>
      <c r="B19" t="s">
        <v>40</v>
      </c>
      <c r="C19">
        <f>VLOOKUP(E19,$F$4:$G$37,2)</f>
        <v>265</v>
      </c>
      <c r="D19" t="s">
        <v>39</v>
      </c>
      <c r="E19">
        <v>3</v>
      </c>
      <c r="F19">
        <v>16</v>
      </c>
      <c r="G19" s="3">
        <v>347</v>
      </c>
      <c r="H19" t="s">
        <v>9</v>
      </c>
      <c r="I19">
        <f>IF(I$6=1,'Default Battery Chemistry'!$B15,IF(I$6=2,'Default Battery Chemistry'!$C15,IF(I$6=3,'Default Battery Chemistry'!$D15,"unknown")))</f>
        <v>41</v>
      </c>
      <c r="J19">
        <f t="shared" si="7"/>
        <v>41.984375</v>
      </c>
      <c r="K19">
        <f t="shared" si="7"/>
        <v>41.984375</v>
      </c>
      <c r="L19">
        <f t="shared" si="7"/>
        <v>41.984375</v>
      </c>
      <c r="M19">
        <f t="shared" si="7"/>
        <v>41.984375</v>
      </c>
      <c r="N19">
        <f t="shared" si="7"/>
        <v>41.984375</v>
      </c>
      <c r="O19">
        <f t="shared" si="7"/>
        <v>41.984375</v>
      </c>
      <c r="P19">
        <v>41.984375</v>
      </c>
      <c r="Q19">
        <v>41.984375</v>
      </c>
      <c r="R19">
        <f>IF(R$6=1,'Default Battery Chemistry'!$B15,IF(R$6=2,'Default Battery Chemistry'!$C15,IF(R$6=3,'Default Battery Chemistry'!$D15,"unknown")))</f>
        <v>40</v>
      </c>
      <c r="S19">
        <f>IF(S$6=1,'Default Battery Chemistry'!$B15,IF(S$6=2,'Default Battery Chemistry'!$C15,IF(S$6=3,'Default Battery Chemistry'!$D15,"unknown")))</f>
        <v>41.984375</v>
      </c>
      <c r="T19">
        <f>IF(T$6=1,'Default Battery Chemistry'!$B15,IF(T$6=2,'Default Battery Chemistry'!$C15,IF(T$6=3,'Default Battery Chemistry'!$D15,"unknown")))</f>
        <v>41.984375</v>
      </c>
      <c r="U19">
        <f>IF(U$6=1,'Default Battery Chemistry'!$B15,IF(U$6=2,'Default Battery Chemistry'!$C15,IF(U$6=3,'Default Battery Chemistry'!$D15,"unknown")))</f>
        <v>41.984375</v>
      </c>
      <c r="V19">
        <f>IF(V$6=1,'Default Battery Chemistry'!$B15,IF(V$6=2,'Default Battery Chemistry'!$C15,IF(V$6=3,'Default Battery Chemistry'!$D15,"unknown")))</f>
        <v>41.984375</v>
      </c>
      <c r="W19">
        <f t="shared" si="4"/>
        <v>41.984375</v>
      </c>
      <c r="X19">
        <f t="shared" si="6"/>
        <v>41.984375</v>
      </c>
      <c r="Y19">
        <f>IF(Y$6=1,'Default Battery Chemistry'!$B15,IF(Y$6=2,'Default Battery Chemistry'!$C15,IF(Y$6=3,'Default Battery Chemistry'!$D15,"unknown")))</f>
        <v>41.984375</v>
      </c>
      <c r="Z19">
        <f>IF(Z$6=1,'Default Battery Chemistry'!$B15,IF(Z$6=2,'Default Battery Chemistry'!$C15,IF(Z$6=3,'Default Battery Chemistry'!$D15,"unknown")))</f>
        <v>41.984375</v>
      </c>
      <c r="AA19">
        <f>IF(AA$6=1,'Default Battery Chemistry'!$B15,IF(AA$6=2,'Default Battery Chemistry'!$C15,IF(AA$6=3,'Default Battery Chemistry'!$D15,"unknown")))</f>
        <v>41.984375</v>
      </c>
      <c r="AB19">
        <f>IF(AB$6=1,'Default Battery Chemistry'!$B15,IF(AB$6=2,'Default Battery Chemistry'!$C15,IF(AB$6=3,'Default Battery Chemistry'!$D15,"unknown")))</f>
        <v>41.984375</v>
      </c>
      <c r="AC19">
        <f>IF(AC$6=1,'Default Battery Chemistry'!$B15,IF(AC$6=2,'Default Battery Chemistry'!$C15,IF(AC$6=3,'Default Battery Chemistry'!$D15,"unknown")))</f>
        <v>41.984375</v>
      </c>
      <c r="AD19">
        <f>IF(AD$6=1,'Default Battery Chemistry'!$B15,IF(AD$6=2,'Default Battery Chemistry'!$C15,IF(AD$6=3,'Default Battery Chemistry'!$D15,"unknown")))</f>
        <v>41.984375</v>
      </c>
      <c r="AE19">
        <v>41.984375</v>
      </c>
      <c r="AF19">
        <f>IF(AF$6=1,'Default Battery Chemistry'!$B15,IF(AF$6=2,'Default Battery Chemistry'!$C15,IF(AF$6=3,'Default Battery Chemistry'!$D15,"unknown")))</f>
        <v>41.984375</v>
      </c>
      <c r="AG19">
        <v>41.984375</v>
      </c>
      <c r="AH19">
        <v>41.984375</v>
      </c>
      <c r="AI19">
        <v>41.984375</v>
      </c>
      <c r="AJ19">
        <v>41.984375</v>
      </c>
      <c r="AK19">
        <f>IF(AK$6=1,'Default Battery Chemistry'!$B15,IF(AK$6=2,'Default Battery Chemistry'!$C15,IF(AK$6=3,'Default Battery Chemistry'!$D15,"unknown")))</f>
        <v>41.984375</v>
      </c>
      <c r="AL19">
        <f>IF(AL$6=1,'Default Battery Chemistry'!$B15,IF(AL$6=2,'Default Battery Chemistry'!$C15,IF(AL$6=3,'Default Battery Chemistry'!$D15,"unknown")))</f>
        <v>41.984375</v>
      </c>
      <c r="AM19">
        <f>IF(AM$6=1,'Default Battery Chemistry'!$B15,IF(AM$6=2,'Default Battery Chemistry'!$C15,IF(AM$6=3,'Default Battery Chemistry'!$D15,"unknown")))</f>
        <v>41.984375</v>
      </c>
      <c r="AN19">
        <f>IF(AN$6=1,'Default Battery Chemistry'!$B15,IF(AN$6=2,'Default Battery Chemistry'!$C15,IF(AN$6=3,'Default Battery Chemistry'!$D15,"unknown")))</f>
        <v>41.984375</v>
      </c>
      <c r="AO19">
        <f>IF(AO$6=1,'Default Battery Chemistry'!$B15,IF(AO$6=2,'Default Battery Chemistry'!$C15,IF(AO$6=3,'Default Battery Chemistry'!$D15,"unknown")))</f>
        <v>41.984375</v>
      </c>
      <c r="AP19">
        <f>IF(AP$6=1,'Default Battery Chemistry'!$B15,IF(AP$6=2,'Default Battery Chemistry'!$C15,IF(AP$6=3,'Default Battery Chemistry'!$D15,"unknown")))</f>
        <v>41.984375</v>
      </c>
      <c r="AQ19">
        <f>IF(AQ$6=1,'Default Battery Chemistry'!$B15,IF(AQ$6=2,'Default Battery Chemistry'!$C15,IF(AQ$6=3,'Default Battery Chemistry'!$D15,"unknown")))</f>
        <v>41.984375</v>
      </c>
      <c r="AR19">
        <f>IF(AR$6=1,'Default Battery Chemistry'!$B15,IF(AR$6=2,'Default Battery Chemistry'!$C15,IF(AR$6=3,'Default Battery Chemistry'!$D15,"unknown")))</f>
        <v>41.984375</v>
      </c>
      <c r="AS19">
        <v>41.984375</v>
      </c>
      <c r="AT19" s="4">
        <v>41</v>
      </c>
      <c r="AU19" s="4">
        <f>IF(AU$6=1,'Default Battery Chemistry'!$B15,IF(AU$6=2,'Default Battery Chemistry'!$C15,IF(AU$6=3,'Default Battery Chemistry'!$D15,"unknown")))</f>
        <v>41.984375</v>
      </c>
      <c r="AV19" s="4">
        <f>IF(AV$6=1,'Default Battery Chemistry'!$B15,IF(AV$6=2,'Default Battery Chemistry'!$C15,IF(AV$6=3,'Default Battery Chemistry'!$D15,"unknown")))</f>
        <v>41.984375</v>
      </c>
      <c r="AW19" s="4">
        <f>IF(AW$6=1,'Default Battery Chemistry'!$B15,IF(AW$6=2,'Default Battery Chemistry'!$C15,IF(AW$6=3,'Default Battery Chemistry'!$D15,"unknown")))</f>
        <v>41.984375</v>
      </c>
      <c r="AX19" s="4">
        <f>IF(AX$6=1,'Default Battery Chemistry'!$B15,IF(AX$6=2,'Default Battery Chemistry'!$C15,IF(AX$6=3,'Default Battery Chemistry'!$D15,"unknown")))</f>
        <v>41.984375</v>
      </c>
      <c r="AY19" s="4">
        <v>41.828125</v>
      </c>
      <c r="AZ19" s="4">
        <f>IF(AZ$6=1,'Default Battery Chemistry'!$B15,IF(AZ$6=2,'Default Battery Chemistry'!$C15,IF(AZ$6=3,'Default Battery Chemistry'!$D15,"unknown")))</f>
        <v>41.984375</v>
      </c>
      <c r="BA19" s="4">
        <f>IF(BA$6=1,'Default Battery Chemistry'!$B15,IF(BA$6=2,'Default Battery Chemistry'!$C15,IF(BA$6=3,'Default Battery Chemistry'!$D15,"unknown")))</f>
        <v>41.984375</v>
      </c>
      <c r="BB19" s="4">
        <v>41.984375</v>
      </c>
      <c r="BC19" s="4">
        <f>IF(BC$6=1,'Default Battery Chemistry'!$B15,IF(BC$6=2,'Default Battery Chemistry'!$C15,IF(BC$6=3,'Default Battery Chemistry'!$D15,"unknown")))</f>
        <v>41.984375</v>
      </c>
      <c r="BD19" s="4">
        <v>41.984375</v>
      </c>
      <c r="BE19" s="4">
        <v>41.984375</v>
      </c>
      <c r="BF19" s="4">
        <f>IF(BF$6=1,'Default Battery Chemistry'!$B15,IF(BF$6=2,'Default Battery Chemistry'!$C15,IF(BF$6=3,'Default Battery Chemistry'!$D15,"unknown")))</f>
        <v>40</v>
      </c>
      <c r="BG19">
        <f>IF(BG$6=1,'Default Battery Chemistry'!$B15,IF(BG$6=2,'Default Battery Chemistry'!$C15,IF(BG$6=3,'Default Battery Chemistry'!$D15,"unknown")))</f>
        <v>40</v>
      </c>
      <c r="BH19" s="4" t="str">
        <f t="shared" si="5"/>
        <v>unknown</v>
      </c>
      <c r="CB19">
        <f>$C$99</f>
        <v>41</v>
      </c>
    </row>
    <row r="20" spans="1:80" x14ac:dyDescent="0.3">
      <c r="A20" t="str">
        <f t="shared" si="3"/>
        <v xml:space="preserve">                &lt;PropertyName&gt;BatteryType&lt;/PropertyName&gt;</v>
      </c>
      <c r="B20" t="s">
        <v>41</v>
      </c>
      <c r="C20" t="str">
        <f>VLOOKUP(C19,$G$4:$H$37,2,FALSE)</f>
        <v>BatteryType</v>
      </c>
      <c r="D20" t="s">
        <v>42</v>
      </c>
      <c r="F20">
        <v>17</v>
      </c>
      <c r="G20" s="3">
        <v>348</v>
      </c>
      <c r="H20" t="s">
        <v>10</v>
      </c>
      <c r="I20">
        <f>IF(I$6=1,'Default Battery Chemistry'!$B16,IF(I$6=2,'Default Battery Chemistry'!$C16,IF(I$6=3,'Default Battery Chemistry'!$D16,"unknown")))</f>
        <v>38</v>
      </c>
      <c r="J20">
        <f t="shared" si="7"/>
        <v>41.2265625</v>
      </c>
      <c r="K20">
        <f t="shared" si="7"/>
        <v>41.2265625</v>
      </c>
      <c r="L20">
        <f t="shared" si="7"/>
        <v>41.2265625</v>
      </c>
      <c r="M20">
        <f t="shared" si="7"/>
        <v>41.2265625</v>
      </c>
      <c r="N20">
        <f t="shared" si="7"/>
        <v>41.2265625</v>
      </c>
      <c r="O20">
        <f t="shared" si="7"/>
        <v>41.2265625</v>
      </c>
      <c r="P20">
        <v>41.2265625</v>
      </c>
      <c r="Q20">
        <v>41.2265625</v>
      </c>
      <c r="R20">
        <f>IF(R$6=1,'Default Battery Chemistry'!$B16,IF(R$6=2,'Default Battery Chemistry'!$C16,IF(R$6=3,'Default Battery Chemistry'!$D16,"unknown")))</f>
        <v>40</v>
      </c>
      <c r="S20">
        <f>IF(S$6=1,'Default Battery Chemistry'!$B16,IF(S$6=2,'Default Battery Chemistry'!$C16,IF(S$6=3,'Default Battery Chemistry'!$D16,"unknown")))</f>
        <v>41.2265625</v>
      </c>
      <c r="T20">
        <f>IF(T$6=1,'Default Battery Chemistry'!$B16,IF(T$6=2,'Default Battery Chemistry'!$C16,IF(T$6=3,'Default Battery Chemistry'!$D16,"unknown")))</f>
        <v>41.2265625</v>
      </c>
      <c r="U20">
        <f>IF(U$6=1,'Default Battery Chemistry'!$B16,IF(U$6=2,'Default Battery Chemistry'!$C16,IF(U$6=3,'Default Battery Chemistry'!$D16,"unknown")))</f>
        <v>41.2265625</v>
      </c>
      <c r="V20">
        <f>IF(V$6=1,'Default Battery Chemistry'!$B16,IF(V$6=2,'Default Battery Chemistry'!$C16,IF(V$6=3,'Default Battery Chemistry'!$D16,"unknown")))</f>
        <v>41.2265625</v>
      </c>
      <c r="W20">
        <f t="shared" si="4"/>
        <v>41.2265625</v>
      </c>
      <c r="X20">
        <f t="shared" si="6"/>
        <v>41.2265625</v>
      </c>
      <c r="Y20">
        <f>IF(Y$6=1,'Default Battery Chemistry'!$B16,IF(Y$6=2,'Default Battery Chemistry'!$C16,IF(Y$6=3,'Default Battery Chemistry'!$D16,"unknown")))</f>
        <v>41.2265625</v>
      </c>
      <c r="Z20">
        <f>IF(Z$6=1,'Default Battery Chemistry'!$B16,IF(Z$6=2,'Default Battery Chemistry'!$C16,IF(Z$6=3,'Default Battery Chemistry'!$D16,"unknown")))</f>
        <v>41.2265625</v>
      </c>
      <c r="AA20">
        <f>IF(AA$6=1,'Default Battery Chemistry'!$B16,IF(AA$6=2,'Default Battery Chemistry'!$C16,IF(AA$6=3,'Default Battery Chemistry'!$D16,"unknown")))</f>
        <v>41.2265625</v>
      </c>
      <c r="AB20">
        <f>IF(AB$6=1,'Default Battery Chemistry'!$B16,IF(AB$6=2,'Default Battery Chemistry'!$C16,IF(AB$6=3,'Default Battery Chemistry'!$D16,"unknown")))</f>
        <v>41.2265625</v>
      </c>
      <c r="AC20">
        <f>IF(AC$6=1,'Default Battery Chemistry'!$B16,IF(AC$6=2,'Default Battery Chemistry'!$C16,IF(AC$6=3,'Default Battery Chemistry'!$D16,"unknown")))</f>
        <v>41.2265625</v>
      </c>
      <c r="AD20">
        <f>IF(AD$6=1,'Default Battery Chemistry'!$B16,IF(AD$6=2,'Default Battery Chemistry'!$C16,IF(AD$6=3,'Default Battery Chemistry'!$D16,"unknown")))</f>
        <v>41.2265625</v>
      </c>
      <c r="AE20">
        <v>41.2265625</v>
      </c>
      <c r="AF20">
        <f>IF(AF$6=1,'Default Battery Chemistry'!$B16,IF(AF$6=2,'Default Battery Chemistry'!$C16,IF(AF$6=3,'Default Battery Chemistry'!$D16,"unknown")))</f>
        <v>41.2265625</v>
      </c>
      <c r="AG20">
        <v>41.2265625</v>
      </c>
      <c r="AH20">
        <v>41.2265625</v>
      </c>
      <c r="AI20">
        <v>41.2265625</v>
      </c>
      <c r="AJ20">
        <v>41.2265625</v>
      </c>
      <c r="AK20">
        <f>IF(AK$6=1,'Default Battery Chemistry'!$B16,IF(AK$6=2,'Default Battery Chemistry'!$C16,IF(AK$6=3,'Default Battery Chemistry'!$D16,"unknown")))</f>
        <v>41.2265625</v>
      </c>
      <c r="AL20">
        <f>IF(AL$6=1,'Default Battery Chemistry'!$B16,IF(AL$6=2,'Default Battery Chemistry'!$C16,IF(AL$6=3,'Default Battery Chemistry'!$D16,"unknown")))</f>
        <v>41.2265625</v>
      </c>
      <c r="AM20">
        <f>IF(AM$6=1,'Default Battery Chemistry'!$B16,IF(AM$6=2,'Default Battery Chemistry'!$C16,IF(AM$6=3,'Default Battery Chemistry'!$D16,"unknown")))</f>
        <v>41.2265625</v>
      </c>
      <c r="AN20">
        <f>IF(AN$6=1,'Default Battery Chemistry'!$B16,IF(AN$6=2,'Default Battery Chemistry'!$C16,IF(AN$6=3,'Default Battery Chemistry'!$D16,"unknown")))</f>
        <v>41.2265625</v>
      </c>
      <c r="AO20">
        <f>IF(AO$6=1,'Default Battery Chemistry'!$B16,IF(AO$6=2,'Default Battery Chemistry'!$C16,IF(AO$6=3,'Default Battery Chemistry'!$D16,"unknown")))</f>
        <v>41.2265625</v>
      </c>
      <c r="AP20">
        <f>IF(AP$6=1,'Default Battery Chemistry'!$B16,IF(AP$6=2,'Default Battery Chemistry'!$C16,IF(AP$6=3,'Default Battery Chemistry'!$D16,"unknown")))</f>
        <v>41.2265625</v>
      </c>
      <c r="AQ20">
        <f>IF(AQ$6=1,'Default Battery Chemistry'!$B16,IF(AQ$6=2,'Default Battery Chemistry'!$C16,IF(AQ$6=3,'Default Battery Chemistry'!$D16,"unknown")))</f>
        <v>41.2265625</v>
      </c>
      <c r="AR20">
        <f>IF(AR$6=1,'Default Battery Chemistry'!$B16,IF(AR$6=2,'Default Battery Chemistry'!$C16,IF(AR$6=3,'Default Battery Chemistry'!$D16,"unknown")))</f>
        <v>41.2265625</v>
      </c>
      <c r="AS20">
        <v>41.2265625</v>
      </c>
      <c r="AT20" s="4">
        <v>38</v>
      </c>
      <c r="AU20" s="4">
        <f>IF(AU$6=1,'Default Battery Chemistry'!$B16,IF(AU$6=2,'Default Battery Chemistry'!$C16,IF(AU$6=3,'Default Battery Chemistry'!$D16,"unknown")))</f>
        <v>41.2265625</v>
      </c>
      <c r="AV20" s="4">
        <f>IF(AV$6=1,'Default Battery Chemistry'!$B16,IF(AV$6=2,'Default Battery Chemistry'!$C16,IF(AV$6=3,'Default Battery Chemistry'!$D16,"unknown")))</f>
        <v>41.2265625</v>
      </c>
      <c r="AW20" s="4">
        <f>IF(AW$6=1,'Default Battery Chemistry'!$B16,IF(AW$6=2,'Default Battery Chemistry'!$C16,IF(AW$6=3,'Default Battery Chemistry'!$D16,"unknown")))</f>
        <v>41.2265625</v>
      </c>
      <c r="AX20" s="4">
        <f>IF(AX$6=1,'Default Battery Chemistry'!$B16,IF(AX$6=2,'Default Battery Chemistry'!$C16,IF(AX$6=3,'Default Battery Chemistry'!$D16,"unknown")))</f>
        <v>41.2265625</v>
      </c>
      <c r="AY20" s="4">
        <v>40.9296875</v>
      </c>
      <c r="AZ20" s="4">
        <f>IF(AZ$6=1,'Default Battery Chemistry'!$B16,IF(AZ$6=2,'Default Battery Chemistry'!$C16,IF(AZ$6=3,'Default Battery Chemistry'!$D16,"unknown")))</f>
        <v>41.2265625</v>
      </c>
      <c r="BA20" s="4">
        <f>IF(BA$6=1,'Default Battery Chemistry'!$B16,IF(BA$6=2,'Default Battery Chemistry'!$C16,IF(BA$6=3,'Default Battery Chemistry'!$D16,"unknown")))</f>
        <v>41.2265625</v>
      </c>
      <c r="BB20" s="4">
        <v>41.2265625</v>
      </c>
      <c r="BC20" s="4">
        <f>IF(BC$6=1,'Default Battery Chemistry'!$B16,IF(BC$6=2,'Default Battery Chemistry'!$C16,IF(BC$6=3,'Default Battery Chemistry'!$D16,"unknown")))</f>
        <v>41.2265625</v>
      </c>
      <c r="BD20" s="4">
        <v>41.2265625</v>
      </c>
      <c r="BE20" s="4">
        <v>41.2265625</v>
      </c>
      <c r="BF20" s="4">
        <f>IF(BF$6=1,'Default Battery Chemistry'!$B16,IF(BF$6=2,'Default Battery Chemistry'!$C16,IF(BF$6=3,'Default Battery Chemistry'!$D16,"unknown")))</f>
        <v>40</v>
      </c>
      <c r="BG20">
        <f>IF(BG$6=1,'Default Battery Chemistry'!$B16,IF(BG$6=2,'Default Battery Chemistry'!$C16,IF(BG$6=3,'Default Battery Chemistry'!$D16,"unknown")))</f>
        <v>40</v>
      </c>
      <c r="BH20" s="4" t="str">
        <f t="shared" si="5"/>
        <v>unknown</v>
      </c>
      <c r="CB20">
        <f>$C$105</f>
        <v>38</v>
      </c>
    </row>
    <row r="21" spans="1:80" x14ac:dyDescent="0.3">
      <c r="A21" t="str">
        <f t="shared" si="3"/>
        <v xml:space="preserve">                &lt;ParameterValue&gt;1&lt;/ParameterValue&gt;</v>
      </c>
      <c r="B21" t="s">
        <v>43</v>
      </c>
      <c r="C21">
        <f>VLOOKUP(E19,$F$4:$AAN$37,$H$1+4)</f>
        <v>1</v>
      </c>
      <c r="D21" t="s">
        <v>44</v>
      </c>
      <c r="F21">
        <v>18</v>
      </c>
      <c r="G21" s="3">
        <v>363</v>
      </c>
      <c r="H21" t="s">
        <v>20</v>
      </c>
      <c r="I21">
        <f>IF(I$6=1,'Default Battery Chemistry'!$B17,IF(I$6=2,'Default Battery Chemistry'!$C17,IF(I$6=3,'Default Battery Chemistry'!$D17,"unknown")))</f>
        <v>1.1875</v>
      </c>
      <c r="J21">
        <v>1.109375</v>
      </c>
      <c r="K21">
        <v>1.109375</v>
      </c>
      <c r="L21">
        <v>1.109375</v>
      </c>
      <c r="M21">
        <v>1.109375</v>
      </c>
      <c r="N21">
        <v>1.109375</v>
      </c>
      <c r="O21">
        <v>1.109375</v>
      </c>
      <c r="P21">
        <v>1.109375</v>
      </c>
      <c r="Q21">
        <v>1.109375</v>
      </c>
      <c r="R21">
        <f>IF(R$6=1,'Default Battery Chemistry'!$B17,IF(R$6=2,'Default Battery Chemistry'!$C17,IF(R$6=3,'Default Battery Chemistry'!$D17,"unknown")))</f>
        <v>1.1796875</v>
      </c>
      <c r="S21">
        <f>IF(S$6=1,'Default Battery Chemistry'!$B17,IF(S$6=2,'Default Battery Chemistry'!$C17,IF(S$6=3,'Default Battery Chemistry'!$D17,"unknown")))</f>
        <v>1.109375</v>
      </c>
      <c r="T21">
        <f>IF(T$6=1,'Default Battery Chemistry'!$B17,IF(T$6=2,'Default Battery Chemistry'!$C17,IF(T$6=3,'Default Battery Chemistry'!$D17,"unknown")))</f>
        <v>1.109375</v>
      </c>
      <c r="U21">
        <f>IF(U$6=1,'Default Battery Chemistry'!$B17,IF(U$6=2,'Default Battery Chemistry'!$C17,IF(U$6=3,'Default Battery Chemistry'!$D17,"unknown")))</f>
        <v>1.109375</v>
      </c>
      <c r="V21">
        <f>IF(V$6=1,'Default Battery Chemistry'!$B17,IF(V$6=2,'Default Battery Chemistry'!$C17,IF(V$6=3,'Default Battery Chemistry'!$D17,"unknown")))</f>
        <v>1.109375</v>
      </c>
      <c r="W21">
        <f t="shared" si="4"/>
        <v>1.109375</v>
      </c>
      <c r="X21">
        <f t="shared" si="6"/>
        <v>1.109375</v>
      </c>
      <c r="Y21">
        <f>IF(Y$6=1,'Default Battery Chemistry'!$B17,IF(Y$6=2,'Default Battery Chemistry'!$C17,IF(Y$6=3,'Default Battery Chemistry'!$D17,"unknown")))</f>
        <v>1.109375</v>
      </c>
      <c r="Z21">
        <f>IF(Z$6=1,'Default Battery Chemistry'!$B17,IF(Z$6=2,'Default Battery Chemistry'!$C17,IF(Z$6=3,'Default Battery Chemistry'!$D17,"unknown")))</f>
        <v>1.109375</v>
      </c>
      <c r="AA21">
        <f>IF(AA$6=1,'Default Battery Chemistry'!$B17,IF(AA$6=2,'Default Battery Chemistry'!$C17,IF(AA$6=3,'Default Battery Chemistry'!$D17,"unknown")))</f>
        <v>1.109375</v>
      </c>
      <c r="AB21">
        <f>IF(AB$6=1,'Default Battery Chemistry'!$B17,IF(AB$6=2,'Default Battery Chemistry'!$C17,IF(AB$6=3,'Default Battery Chemistry'!$D17,"unknown")))</f>
        <v>1.109375</v>
      </c>
      <c r="AC21">
        <f>IF(AC$6=1,'Default Battery Chemistry'!$B17,IF(AC$6=2,'Default Battery Chemistry'!$C17,IF(AC$6=3,'Default Battery Chemistry'!$D17,"unknown")))</f>
        <v>1.109375</v>
      </c>
      <c r="AD21">
        <f>IF(AD$6=1,'Default Battery Chemistry'!$B17,IF(AD$6=2,'Default Battery Chemistry'!$C17,IF(AD$6=3,'Default Battery Chemistry'!$D17,"unknown")))</f>
        <v>1.109375</v>
      </c>
      <c r="AE21">
        <v>1.109375</v>
      </c>
      <c r="AF21">
        <f>IF(AF$6=1,'Default Battery Chemistry'!$B17,IF(AF$6=2,'Default Battery Chemistry'!$C17,IF(AF$6=3,'Default Battery Chemistry'!$D17,"unknown")))</f>
        <v>1.109375</v>
      </c>
      <c r="AG21">
        <v>1.109375</v>
      </c>
      <c r="AH21">
        <v>1.109375</v>
      </c>
      <c r="AI21">
        <v>1.109375</v>
      </c>
      <c r="AJ21">
        <v>1.109375</v>
      </c>
      <c r="AK21">
        <f>IF(AK$6=1,'Default Battery Chemistry'!$B17,IF(AK$6=2,'Default Battery Chemistry'!$C17,IF(AK$6=3,'Default Battery Chemistry'!$D17,"unknown")))</f>
        <v>1.109375</v>
      </c>
      <c r="AL21">
        <f>IF(AL$6=1,'Default Battery Chemistry'!$B17,IF(AL$6=2,'Default Battery Chemistry'!$C17,IF(AL$6=3,'Default Battery Chemistry'!$D17,"unknown")))</f>
        <v>1.109375</v>
      </c>
      <c r="AM21">
        <f>IF(AM$6=1,'Default Battery Chemistry'!$B17,IF(AM$6=2,'Default Battery Chemistry'!$C17,IF(AM$6=3,'Default Battery Chemistry'!$D17,"unknown")))</f>
        <v>1.109375</v>
      </c>
      <c r="AN21">
        <f>IF(AN$6=1,'Default Battery Chemistry'!$B17,IF(AN$6=2,'Default Battery Chemistry'!$C17,IF(AN$6=3,'Default Battery Chemistry'!$D17,"unknown")))</f>
        <v>1.109375</v>
      </c>
      <c r="AO21">
        <f>IF(AO$6=1,'Default Battery Chemistry'!$B17,IF(AO$6=2,'Default Battery Chemistry'!$C17,IF(AO$6=3,'Default Battery Chemistry'!$D17,"unknown")))</f>
        <v>1.109375</v>
      </c>
      <c r="AP21">
        <f>IF(AP$6=1,'Default Battery Chemistry'!$B17,IF(AP$6=2,'Default Battery Chemistry'!$C17,IF(AP$6=3,'Default Battery Chemistry'!$D17,"unknown")))</f>
        <v>1.109375</v>
      </c>
      <c r="AQ21">
        <f>IF(AQ$6=1,'Default Battery Chemistry'!$B17,IF(AQ$6=2,'Default Battery Chemistry'!$C17,IF(AQ$6=3,'Default Battery Chemistry'!$D17,"unknown")))</f>
        <v>1.109375</v>
      </c>
      <c r="AR21">
        <f>IF(AR$6=1,'Default Battery Chemistry'!$B17,IF(AR$6=2,'Default Battery Chemistry'!$C17,IF(AR$6=3,'Default Battery Chemistry'!$D17,"unknown")))</f>
        <v>1.109375</v>
      </c>
      <c r="AS21">
        <v>1.109375</v>
      </c>
      <c r="AT21" s="4">
        <v>1.1875</v>
      </c>
      <c r="AU21" s="4">
        <f>IF(AU$6=1,'Default Battery Chemistry'!$B17,IF(AU$6=2,'Default Battery Chemistry'!$C17,IF(AU$6=3,'Default Battery Chemistry'!$D17,"unknown")))</f>
        <v>1.109375</v>
      </c>
      <c r="AV21" s="4">
        <f>IF(AV$6=1,'Default Battery Chemistry'!$B17,IF(AV$6=2,'Default Battery Chemistry'!$C17,IF(AV$6=3,'Default Battery Chemistry'!$D17,"unknown")))</f>
        <v>1.109375</v>
      </c>
      <c r="AW21" s="4">
        <f>IF(AW$6=1,'Default Battery Chemistry'!$B17,IF(AW$6=2,'Default Battery Chemistry'!$C17,IF(AW$6=3,'Default Battery Chemistry'!$D17,"unknown")))</f>
        <v>1.109375</v>
      </c>
      <c r="AX21" s="4">
        <f>IF(AX$6=1,'Default Battery Chemistry'!$B17,IF(AX$6=2,'Default Battery Chemistry'!$C17,IF(AX$6=3,'Default Battery Chemistry'!$D17,"unknown")))</f>
        <v>1.109375</v>
      </c>
      <c r="AY21" s="4">
        <v>1.0703125</v>
      </c>
      <c r="AZ21" s="4">
        <f>IF(AZ$6=1,'Default Battery Chemistry'!$B17,IF(AZ$6=2,'Default Battery Chemistry'!$C17,IF(AZ$6=3,'Default Battery Chemistry'!$D17,"unknown")))</f>
        <v>1.109375</v>
      </c>
      <c r="BA21" s="4">
        <f>IF(BA$6=1,'Default Battery Chemistry'!$B17,IF(BA$6=2,'Default Battery Chemistry'!$C17,IF(BA$6=3,'Default Battery Chemistry'!$D17,"unknown")))</f>
        <v>1.109375</v>
      </c>
      <c r="BB21" s="4">
        <v>1.109375</v>
      </c>
      <c r="BC21" s="4">
        <f>IF(BC$6=1,'Default Battery Chemistry'!$B17,IF(BC$6=2,'Default Battery Chemistry'!$C17,IF(BC$6=3,'Default Battery Chemistry'!$D17,"unknown")))</f>
        <v>1.109375</v>
      </c>
      <c r="BD21" s="4">
        <v>1.109375</v>
      </c>
      <c r="BE21" s="4">
        <v>1.109375</v>
      </c>
      <c r="BF21" s="4">
        <f>IF(BF$6=1,'Default Battery Chemistry'!$B17,IF(BF$6=2,'Default Battery Chemistry'!$C17,IF(BF$6=3,'Default Battery Chemistry'!$D17,"unknown")))</f>
        <v>1.1796875</v>
      </c>
      <c r="BG21">
        <f>IF(BG$6=1,'Default Battery Chemistry'!$B17,IF(BG$6=2,'Default Battery Chemistry'!$C17,IF(BG$6=3,'Default Battery Chemistry'!$D17,"unknown")))</f>
        <v>1.1796875</v>
      </c>
      <c r="BH21" s="4" t="str">
        <f t="shared" si="5"/>
        <v>unknown</v>
      </c>
      <c r="CB21">
        <f>$C$111</f>
        <v>1.1875</v>
      </c>
    </row>
    <row r="22" spans="1:80" x14ac:dyDescent="0.3">
      <c r="A22" t="str">
        <f t="shared" si="3"/>
        <v xml:space="preserve">            &lt;/ParameterFileItem&gt;</v>
      </c>
      <c r="B22" t="s">
        <v>33</v>
      </c>
      <c r="F22">
        <v>19</v>
      </c>
      <c r="G22" s="3">
        <v>364</v>
      </c>
      <c r="H22" t="s">
        <v>21</v>
      </c>
      <c r="I22">
        <f>IF(I$6=1,'Default Battery Chemistry'!$B18,IF(I$6=2,'Default Battery Chemistry'!$C18,IF(I$6=3,'Default Battery Chemistry'!$D18,"unknown")))</f>
        <v>1.265625</v>
      </c>
      <c r="J22">
        <v>1.1484375</v>
      </c>
      <c r="K22">
        <v>1.1484375</v>
      </c>
      <c r="L22">
        <v>1.1484375</v>
      </c>
      <c r="M22">
        <v>1.1484375</v>
      </c>
      <c r="N22">
        <v>1.1484375</v>
      </c>
      <c r="O22">
        <v>1.1484375</v>
      </c>
      <c r="P22">
        <v>1.1484375</v>
      </c>
      <c r="Q22">
        <v>1.1484375</v>
      </c>
      <c r="R22">
        <f>IF(R$6=1,'Default Battery Chemistry'!$B18,IF(R$6=2,'Default Battery Chemistry'!$C18,IF(R$6=3,'Default Battery Chemistry'!$D18,"unknown")))</f>
        <v>1.1875</v>
      </c>
      <c r="S22">
        <f>IF(S$6=1,'Default Battery Chemistry'!$B18,IF(S$6=2,'Default Battery Chemistry'!$C18,IF(S$6=3,'Default Battery Chemistry'!$D18,"unknown")))</f>
        <v>1.1484375</v>
      </c>
      <c r="T22">
        <f>IF(T$6=1,'Default Battery Chemistry'!$B18,IF(T$6=2,'Default Battery Chemistry'!$C18,IF(T$6=3,'Default Battery Chemistry'!$D18,"unknown")))</f>
        <v>1.1484375</v>
      </c>
      <c r="U22">
        <f>IF(U$6=1,'Default Battery Chemistry'!$B18,IF(U$6=2,'Default Battery Chemistry'!$C18,IF(U$6=3,'Default Battery Chemistry'!$D18,"unknown")))</f>
        <v>1.1484375</v>
      </c>
      <c r="V22">
        <f>IF(V$6=1,'Default Battery Chemistry'!$B18,IF(V$6=2,'Default Battery Chemistry'!$C18,IF(V$6=3,'Default Battery Chemistry'!$D18,"unknown")))</f>
        <v>1.1484375</v>
      </c>
      <c r="W22">
        <f t="shared" si="4"/>
        <v>1.125</v>
      </c>
      <c r="X22">
        <f t="shared" si="6"/>
        <v>1.125</v>
      </c>
      <c r="Y22">
        <f>IF(Y$6=1,'Default Battery Chemistry'!$B18,IF(Y$6=2,'Default Battery Chemistry'!$C18,IF(Y$6=3,'Default Battery Chemistry'!$D18,"unknown")))</f>
        <v>1.1484375</v>
      </c>
      <c r="Z22">
        <f>IF(Z$6=1,'Default Battery Chemistry'!$B18,IF(Z$6=2,'Default Battery Chemistry'!$C18,IF(Z$6=3,'Default Battery Chemistry'!$D18,"unknown")))</f>
        <v>1.1484375</v>
      </c>
      <c r="AA22">
        <f>IF(AA$6=1,'Default Battery Chemistry'!$B18,IF(AA$6=2,'Default Battery Chemistry'!$C18,IF(AA$6=3,'Default Battery Chemistry'!$D18,"unknown")))</f>
        <v>1.1484375</v>
      </c>
      <c r="AB22">
        <f>IF(AB$6=1,'Default Battery Chemistry'!$B18,IF(AB$6=2,'Default Battery Chemistry'!$C18,IF(AB$6=3,'Default Battery Chemistry'!$D18,"unknown")))</f>
        <v>1.1484375</v>
      </c>
      <c r="AC22">
        <f>IF(AC$6=1,'Default Battery Chemistry'!$B18,IF(AC$6=2,'Default Battery Chemistry'!$C18,IF(AC$6=3,'Default Battery Chemistry'!$D18,"unknown")))</f>
        <v>1.1484375</v>
      </c>
      <c r="AD22">
        <f>IF(AD$6=1,'Default Battery Chemistry'!$B18,IF(AD$6=2,'Default Battery Chemistry'!$C18,IF(AD$6=3,'Default Battery Chemistry'!$D18,"unknown")))</f>
        <v>1.1484375</v>
      </c>
      <c r="AE22">
        <v>1.1484375</v>
      </c>
      <c r="AF22">
        <f>IF(AF$6=1,'Default Battery Chemistry'!$B18,IF(AF$6=2,'Default Battery Chemistry'!$C18,IF(AF$6=3,'Default Battery Chemistry'!$D18,"unknown")))</f>
        <v>1.1484375</v>
      </c>
      <c r="AG22">
        <v>1.125</v>
      </c>
      <c r="AH22">
        <v>1.125</v>
      </c>
      <c r="AI22">
        <v>1.125</v>
      </c>
      <c r="AJ22">
        <v>1.125</v>
      </c>
      <c r="AK22">
        <f>IF(AK$6=1,'Default Battery Chemistry'!$B18,IF(AK$6=2,'Default Battery Chemistry'!$C18,IF(AK$6=3,'Default Battery Chemistry'!$D18,"unknown")))</f>
        <v>1.1484375</v>
      </c>
      <c r="AL22">
        <f>IF(AL$6=1,'Default Battery Chemistry'!$B18,IF(AL$6=2,'Default Battery Chemistry'!$C18,IF(AL$6=3,'Default Battery Chemistry'!$D18,"unknown")))</f>
        <v>1.1484375</v>
      </c>
      <c r="AM22">
        <f>IF(AM$6=1,'Default Battery Chemistry'!$B18,IF(AM$6=2,'Default Battery Chemistry'!$C18,IF(AM$6=3,'Default Battery Chemistry'!$D18,"unknown")))</f>
        <v>1.1484375</v>
      </c>
      <c r="AN22">
        <f>IF(AN$6=1,'Default Battery Chemistry'!$B18,IF(AN$6=2,'Default Battery Chemistry'!$C18,IF(AN$6=3,'Default Battery Chemistry'!$D18,"unknown")))</f>
        <v>1.1484375</v>
      </c>
      <c r="AO22">
        <f>IF(AO$6=1,'Default Battery Chemistry'!$B18,IF(AO$6=2,'Default Battery Chemistry'!$C18,IF(AO$6=3,'Default Battery Chemistry'!$D18,"unknown")))</f>
        <v>1.1484375</v>
      </c>
      <c r="AP22">
        <f>IF(AP$6=1,'Default Battery Chemistry'!$B18,IF(AP$6=2,'Default Battery Chemistry'!$C18,IF(AP$6=3,'Default Battery Chemistry'!$D18,"unknown")))</f>
        <v>1.1484375</v>
      </c>
      <c r="AQ22">
        <f>IF(AQ$6=1,'Default Battery Chemistry'!$B18,IF(AQ$6=2,'Default Battery Chemistry'!$C18,IF(AQ$6=3,'Default Battery Chemistry'!$D18,"unknown")))</f>
        <v>1.1484375</v>
      </c>
      <c r="AR22">
        <f>IF(AR$6=1,'Default Battery Chemistry'!$B18,IF(AR$6=2,'Default Battery Chemistry'!$C18,IF(AR$6=3,'Default Battery Chemistry'!$D18,"unknown")))</f>
        <v>1.1484375</v>
      </c>
      <c r="AS22">
        <v>1.1484375</v>
      </c>
      <c r="AT22" s="4">
        <v>1.265625</v>
      </c>
      <c r="AU22" s="4">
        <f>IF(AU$6=1,'Default Battery Chemistry'!$B18,IF(AU$6=2,'Default Battery Chemistry'!$C18,IF(AU$6=3,'Default Battery Chemistry'!$D18,"unknown")))</f>
        <v>1.1484375</v>
      </c>
      <c r="AV22" s="4">
        <f>IF(AV$6=1,'Default Battery Chemistry'!$B18,IF(AV$6=2,'Default Battery Chemistry'!$C18,IF(AV$6=3,'Default Battery Chemistry'!$D18,"unknown")))</f>
        <v>1.1484375</v>
      </c>
      <c r="AW22" s="4">
        <f>IF(AW$6=1,'Default Battery Chemistry'!$B18,IF(AW$6=2,'Default Battery Chemistry'!$C18,IF(AW$6=3,'Default Battery Chemistry'!$D18,"unknown")))</f>
        <v>1.1484375</v>
      </c>
      <c r="AX22" s="4">
        <f>IF(AX$6=1,'Default Battery Chemistry'!$B18,IF(AX$6=2,'Default Battery Chemistry'!$C18,IF(AX$6=3,'Default Battery Chemistry'!$D18,"unknown")))</f>
        <v>1.1484375</v>
      </c>
      <c r="AY22" s="4">
        <v>1.0859375</v>
      </c>
      <c r="AZ22" s="4">
        <f>IF(AZ$6=1,'Default Battery Chemistry'!$B18,IF(AZ$6=2,'Default Battery Chemistry'!$C18,IF(AZ$6=3,'Default Battery Chemistry'!$D18,"unknown")))</f>
        <v>1.1484375</v>
      </c>
      <c r="BA22" s="4">
        <f>IF(BA$6=1,'Default Battery Chemistry'!$B18,IF(BA$6=2,'Default Battery Chemistry'!$C18,IF(BA$6=3,'Default Battery Chemistry'!$D18,"unknown")))</f>
        <v>1.1484375</v>
      </c>
      <c r="BB22" s="4">
        <v>1.1484375</v>
      </c>
      <c r="BC22" s="4">
        <f>IF(BC$6=1,'Default Battery Chemistry'!$B18,IF(BC$6=2,'Default Battery Chemistry'!$C18,IF(BC$6=3,'Default Battery Chemistry'!$D18,"unknown")))</f>
        <v>1.1484375</v>
      </c>
      <c r="BD22" s="4">
        <v>1.1484375</v>
      </c>
      <c r="BE22" s="4">
        <v>1.1484375</v>
      </c>
      <c r="BF22" s="4">
        <f>IF(BF$6=1,'Default Battery Chemistry'!$B18,IF(BF$6=2,'Default Battery Chemistry'!$C18,IF(BF$6=3,'Default Battery Chemistry'!$D18,"unknown")))</f>
        <v>1.1875</v>
      </c>
      <c r="BG22">
        <f>IF(BG$6=1,'Default Battery Chemistry'!$B18,IF(BG$6=2,'Default Battery Chemistry'!$C18,IF(BG$6=3,'Default Battery Chemistry'!$D18,"unknown")))</f>
        <v>1.1875</v>
      </c>
      <c r="BH22" s="4" t="str">
        <f t="shared" si="5"/>
        <v>unknown</v>
      </c>
      <c r="CB22">
        <f>$C$117</f>
        <v>1.265625</v>
      </c>
    </row>
    <row r="23" spans="1:80" x14ac:dyDescent="0.3">
      <c r="A23" t="str">
        <f t="shared" si="3"/>
        <v xml:space="preserve">            &lt;ParameterFileItem&gt;</v>
      </c>
      <c r="B23" t="s">
        <v>31</v>
      </c>
      <c r="F23">
        <v>20</v>
      </c>
      <c r="G23" s="3">
        <v>368</v>
      </c>
      <c r="H23" t="s">
        <v>15</v>
      </c>
      <c r="I23">
        <v>200</v>
      </c>
      <c r="J23">
        <v>250</v>
      </c>
      <c r="K23">
        <v>300</v>
      </c>
      <c r="L23">
        <v>320</v>
      </c>
      <c r="M23">
        <v>400</v>
      </c>
      <c r="N23">
        <v>300</v>
      </c>
      <c r="O23">
        <v>300</v>
      </c>
      <c r="P23">
        <v>120</v>
      </c>
      <c r="Q23">
        <v>180</v>
      </c>
      <c r="R23">
        <v>126</v>
      </c>
      <c r="S23">
        <v>80</v>
      </c>
      <c r="T23">
        <v>160</v>
      </c>
      <c r="U23">
        <v>160</v>
      </c>
      <c r="V23">
        <v>245</v>
      </c>
      <c r="W23">
        <v>245</v>
      </c>
      <c r="X23">
        <v>245</v>
      </c>
      <c r="Y23">
        <v>245</v>
      </c>
      <c r="Z23">
        <v>100</v>
      </c>
      <c r="AA23">
        <v>100</v>
      </c>
      <c r="AB23">
        <v>150</v>
      </c>
      <c r="AC23">
        <v>175</v>
      </c>
      <c r="AD23">
        <v>270</v>
      </c>
      <c r="AE23">
        <v>175</v>
      </c>
      <c r="AF23">
        <v>175</v>
      </c>
      <c r="AG23">
        <v>100</v>
      </c>
      <c r="AH23">
        <v>105</v>
      </c>
      <c r="AI23">
        <v>100</v>
      </c>
      <c r="AJ23">
        <v>150</v>
      </c>
      <c r="AK23">
        <v>200</v>
      </c>
      <c r="AL23">
        <v>200</v>
      </c>
      <c r="AM23">
        <v>200</v>
      </c>
      <c r="AN23">
        <v>150</v>
      </c>
      <c r="AO23">
        <v>150</v>
      </c>
      <c r="AP23">
        <v>150</v>
      </c>
      <c r="AQ23">
        <v>105</v>
      </c>
      <c r="AR23">
        <v>160</v>
      </c>
      <c r="AS23">
        <v>105</v>
      </c>
      <c r="AT23" s="4">
        <v>200</v>
      </c>
      <c r="AU23" s="4">
        <v>100</v>
      </c>
      <c r="AV23" s="4">
        <v>55</v>
      </c>
      <c r="AW23" s="4">
        <v>100</v>
      </c>
      <c r="AX23" s="4">
        <v>100</v>
      </c>
      <c r="AY23" s="4">
        <v>133</v>
      </c>
      <c r="AZ23" s="4">
        <v>175</v>
      </c>
      <c r="BA23" s="4">
        <v>100</v>
      </c>
      <c r="BB23" s="4">
        <v>150</v>
      </c>
      <c r="BC23" s="4">
        <v>120</v>
      </c>
      <c r="BD23" s="4">
        <v>200</v>
      </c>
      <c r="BE23" s="4">
        <v>100</v>
      </c>
      <c r="BF23" s="4">
        <v>100</v>
      </c>
      <c r="BG23">
        <v>199</v>
      </c>
      <c r="BH23" s="4"/>
      <c r="CB23">
        <f>$C$123</f>
        <v>200</v>
      </c>
    </row>
    <row r="24" spans="1:80" x14ac:dyDescent="0.3">
      <c r="A24" t="str">
        <f t="shared" si="3"/>
        <v xml:space="preserve">                &lt;ViewType&gt;ReadOnly&lt;/ViewType&gt;</v>
      </c>
      <c r="B24" t="s">
        <v>32</v>
      </c>
      <c r="F24">
        <v>21</v>
      </c>
      <c r="G24" s="3">
        <v>369</v>
      </c>
      <c r="H24" t="s">
        <v>16</v>
      </c>
      <c r="I24">
        <v>6000</v>
      </c>
      <c r="J24">
        <v>174</v>
      </c>
      <c r="K24">
        <v>111</v>
      </c>
      <c r="L24">
        <v>400</v>
      </c>
      <c r="M24">
        <v>444</v>
      </c>
      <c r="N24">
        <v>111</v>
      </c>
      <c r="O24">
        <v>111</v>
      </c>
      <c r="P24">
        <f>(P4-P23)*30</f>
        <v>3600</v>
      </c>
      <c r="Q24">
        <f>(Q4-Q23)*30</f>
        <v>5400</v>
      </c>
      <c r="R24">
        <v>756</v>
      </c>
      <c r="S24">
        <v>500</v>
      </c>
      <c r="T24">
        <v>700</v>
      </c>
      <c r="U24">
        <v>1400</v>
      </c>
      <c r="V24">
        <v>5500</v>
      </c>
      <c r="W24">
        <v>5500</v>
      </c>
      <c r="X24">
        <v>5500</v>
      </c>
      <c r="Y24">
        <v>5500</v>
      </c>
      <c r="Z24">
        <v>3000</v>
      </c>
      <c r="AA24">
        <v>3000</v>
      </c>
      <c r="AB24">
        <v>4500</v>
      </c>
      <c r="AC24">
        <v>3750</v>
      </c>
      <c r="AD24">
        <v>900</v>
      </c>
      <c r="AE24">
        <v>3750</v>
      </c>
      <c r="AF24">
        <v>3750</v>
      </c>
      <c r="AG24">
        <v>7500</v>
      </c>
      <c r="AH24">
        <v>7350</v>
      </c>
      <c r="AI24">
        <v>7500</v>
      </c>
      <c r="AJ24">
        <v>6000</v>
      </c>
      <c r="AK24">
        <v>3000</v>
      </c>
      <c r="AL24">
        <v>3000</v>
      </c>
      <c r="AM24">
        <v>3000</v>
      </c>
      <c r="AN24">
        <v>1500</v>
      </c>
      <c r="AO24">
        <v>1500</v>
      </c>
      <c r="AP24">
        <v>1500</v>
      </c>
      <c r="AQ24">
        <v>6300</v>
      </c>
      <c r="AR24">
        <v>4650</v>
      </c>
      <c r="AS24">
        <v>6300</v>
      </c>
      <c r="AT24" s="4">
        <f>(AT4-AT23)*30</f>
        <v>0</v>
      </c>
      <c r="AU24" s="4">
        <f>(AU4-AU23)*30</f>
        <v>6000</v>
      </c>
      <c r="AV24" s="4">
        <f>(AV4-AV23)*30</f>
        <v>750</v>
      </c>
      <c r="AW24" s="4">
        <f>(AW4-AW23)*30</f>
        <v>3000</v>
      </c>
      <c r="AX24" s="4">
        <f>(AX4-AX23)*30</f>
        <v>4500</v>
      </c>
      <c r="AY24" s="4">
        <v>3000</v>
      </c>
      <c r="AZ24" s="4">
        <f>(AZ4-AZ23)*30</f>
        <v>3750</v>
      </c>
      <c r="BA24" s="4">
        <f>(BA4-BA23)*30</f>
        <v>3000</v>
      </c>
      <c r="BB24" s="4">
        <f>(BB4-BB23)*30</f>
        <v>1500</v>
      </c>
      <c r="BC24" s="4">
        <v>5850</v>
      </c>
      <c r="BD24" s="4">
        <f>(BD4-BD23)*30</f>
        <v>4500</v>
      </c>
      <c r="BE24" s="4">
        <f>(BE4-BE23)*30</f>
        <v>2250</v>
      </c>
      <c r="BF24" s="4">
        <f>(BF4-BF23)*30</f>
        <v>3000</v>
      </c>
      <c r="BG24">
        <f>(BG4-BG23)*30</f>
        <v>30</v>
      </c>
      <c r="BH24" s="4">
        <f>(BH4-BH23)*30</f>
        <v>0</v>
      </c>
      <c r="BI24" t="s">
        <v>197</v>
      </c>
      <c r="BJ24" t="s">
        <v>198</v>
      </c>
      <c r="BK24" t="s">
        <v>199</v>
      </c>
      <c r="CB24">
        <f>$C$129</f>
        <v>6000</v>
      </c>
    </row>
    <row r="25" spans="1:80" x14ac:dyDescent="0.3">
      <c r="A25" t="str">
        <f t="shared" si="3"/>
        <v xml:space="preserve">                &lt;Address&gt;177&lt;/Address&gt;</v>
      </c>
      <c r="B25" t="s">
        <v>40</v>
      </c>
      <c r="C25">
        <f>VLOOKUP(E25,$F$4:$G$37,2)</f>
        <v>177</v>
      </c>
      <c r="D25" t="s">
        <v>39</v>
      </c>
      <c r="E25">
        <v>4</v>
      </c>
      <c r="F25">
        <v>22</v>
      </c>
      <c r="G25" s="3">
        <v>371</v>
      </c>
      <c r="H25" t="s">
        <v>17</v>
      </c>
      <c r="I25">
        <v>200</v>
      </c>
      <c r="J25">
        <v>300</v>
      </c>
      <c r="K25">
        <v>300</v>
      </c>
      <c r="L25">
        <v>300</v>
      </c>
      <c r="M25">
        <v>420</v>
      </c>
      <c r="N25">
        <v>300</v>
      </c>
      <c r="O25">
        <v>300</v>
      </c>
      <c r="P25">
        <v>200</v>
      </c>
      <c r="Q25">
        <v>200</v>
      </c>
      <c r="R25">
        <v>120</v>
      </c>
      <c r="S25">
        <v>80</v>
      </c>
      <c r="T25">
        <v>160</v>
      </c>
      <c r="U25">
        <v>160</v>
      </c>
      <c r="V25">
        <v>350</v>
      </c>
      <c r="W25">
        <v>350</v>
      </c>
      <c r="X25">
        <v>350</v>
      </c>
      <c r="Y25">
        <v>350</v>
      </c>
      <c r="Z25">
        <v>100</v>
      </c>
      <c r="AA25">
        <v>100</v>
      </c>
      <c r="AB25">
        <v>72</v>
      </c>
      <c r="AC25">
        <v>105</v>
      </c>
      <c r="AD25">
        <v>175</v>
      </c>
      <c r="AE25">
        <v>105</v>
      </c>
      <c r="AF25">
        <v>105</v>
      </c>
      <c r="AG25">
        <v>100</v>
      </c>
      <c r="AH25">
        <v>100</v>
      </c>
      <c r="AI25">
        <v>100</v>
      </c>
      <c r="AJ25">
        <v>100</v>
      </c>
      <c r="AK25">
        <f>AJ25*2</f>
        <v>200</v>
      </c>
      <c r="AL25">
        <f>AJ25*3</f>
        <v>300</v>
      </c>
      <c r="AM25">
        <f>AJ25*4</f>
        <v>400</v>
      </c>
      <c r="AN25">
        <v>56</v>
      </c>
      <c r="AO25">
        <v>105</v>
      </c>
      <c r="AP25">
        <v>160</v>
      </c>
      <c r="AQ25">
        <v>105</v>
      </c>
      <c r="AR25">
        <v>160</v>
      </c>
      <c r="AS25">
        <v>105</v>
      </c>
      <c r="AT25" s="4">
        <v>200</v>
      </c>
      <c r="AU25" s="4">
        <v>40</v>
      </c>
      <c r="AV25" s="4">
        <v>40</v>
      </c>
      <c r="AW25" s="4">
        <v>40</v>
      </c>
      <c r="AX25" s="4">
        <v>40</v>
      </c>
      <c r="AY25" s="4">
        <v>150</v>
      </c>
      <c r="AZ25" s="4">
        <v>175</v>
      </c>
      <c r="BA25" s="4">
        <v>65</v>
      </c>
      <c r="BB25" s="4">
        <v>105</v>
      </c>
      <c r="BC25" s="4">
        <v>175</v>
      </c>
      <c r="BD25" s="4">
        <v>50</v>
      </c>
      <c r="BE25" s="4">
        <v>40</v>
      </c>
      <c r="BF25" s="4">
        <v>100</v>
      </c>
      <c r="BG25">
        <v>100</v>
      </c>
      <c r="BH25" s="4"/>
      <c r="CB25">
        <f>$C$135</f>
        <v>200</v>
      </c>
    </row>
    <row r="26" spans="1:80" x14ac:dyDescent="0.3">
      <c r="A26" t="str">
        <f t="shared" si="3"/>
        <v xml:space="preserve">                &lt;PropertyName&gt;NOMINALBATTERYV&lt;/PropertyName&gt;</v>
      </c>
      <c r="B26" t="s">
        <v>41</v>
      </c>
      <c r="C26" t="str">
        <f>VLOOKUP(C25,$G$4:$H$37,2,FALSE)</f>
        <v>NOMINALBATTERYV</v>
      </c>
      <c r="D26" t="s">
        <v>42</v>
      </c>
      <c r="F26">
        <v>23</v>
      </c>
      <c r="G26" s="3">
        <v>372</v>
      </c>
      <c r="H26" t="s">
        <v>18</v>
      </c>
      <c r="I26">
        <v>200</v>
      </c>
      <c r="J26">
        <v>65</v>
      </c>
      <c r="K26">
        <v>105</v>
      </c>
      <c r="L26">
        <v>150</v>
      </c>
      <c r="M26">
        <v>200</v>
      </c>
      <c r="N26">
        <v>105</v>
      </c>
      <c r="O26">
        <v>105</v>
      </c>
      <c r="P26">
        <v>200</v>
      </c>
      <c r="Q26">
        <v>200</v>
      </c>
      <c r="R26">
        <v>100</v>
      </c>
      <c r="S26">
        <v>60</v>
      </c>
      <c r="T26">
        <v>120</v>
      </c>
      <c r="U26">
        <v>120</v>
      </c>
      <c r="V26">
        <v>105</v>
      </c>
      <c r="W26">
        <v>105</v>
      </c>
      <c r="X26">
        <v>105</v>
      </c>
      <c r="Y26">
        <v>105</v>
      </c>
      <c r="Z26">
        <v>50</v>
      </c>
      <c r="AA26">
        <v>50</v>
      </c>
      <c r="AB26">
        <v>65</v>
      </c>
      <c r="AC26">
        <v>100</v>
      </c>
      <c r="AD26">
        <v>144</v>
      </c>
      <c r="AE26">
        <v>100</v>
      </c>
      <c r="AF26">
        <v>100</v>
      </c>
      <c r="AG26">
        <v>50</v>
      </c>
      <c r="AH26">
        <v>50</v>
      </c>
      <c r="AI26">
        <v>50</v>
      </c>
      <c r="AJ26">
        <v>50</v>
      </c>
      <c r="AK26">
        <v>100</v>
      </c>
      <c r="AL26">
        <v>150</v>
      </c>
      <c r="AM26">
        <v>200</v>
      </c>
      <c r="AN26">
        <v>40</v>
      </c>
      <c r="AO26">
        <v>50</v>
      </c>
      <c r="AP26">
        <v>80</v>
      </c>
      <c r="AQ26">
        <v>50</v>
      </c>
      <c r="AR26">
        <v>80</v>
      </c>
      <c r="AS26">
        <v>50</v>
      </c>
      <c r="AT26" s="4">
        <v>200</v>
      </c>
      <c r="AU26" s="4">
        <v>25</v>
      </c>
      <c r="AV26" s="4">
        <v>25</v>
      </c>
      <c r="AW26" s="4">
        <v>25</v>
      </c>
      <c r="AX26" s="4">
        <v>25</v>
      </c>
      <c r="AY26" s="4">
        <v>120</v>
      </c>
      <c r="AZ26" s="4">
        <v>175</v>
      </c>
      <c r="BA26" s="4">
        <v>50</v>
      </c>
      <c r="BB26" s="4">
        <v>50</v>
      </c>
      <c r="BC26" s="4">
        <v>120</v>
      </c>
      <c r="BD26" s="4">
        <v>40</v>
      </c>
      <c r="BE26" s="4">
        <v>30</v>
      </c>
      <c r="BF26" s="4">
        <v>50</v>
      </c>
      <c r="BG26">
        <v>50</v>
      </c>
      <c r="BH26" s="4"/>
      <c r="CB26">
        <f>$C$141</f>
        <v>200</v>
      </c>
    </row>
    <row r="27" spans="1:80" x14ac:dyDescent="0.3">
      <c r="A27" t="str">
        <f t="shared" si="3"/>
        <v xml:space="preserve">                &lt;ParameterValue&gt;48&lt;/ParameterValue&gt;</v>
      </c>
      <c r="B27" t="s">
        <v>43</v>
      </c>
      <c r="C27">
        <f>VLOOKUP(E25,$F$4:$AAN$37,$H$1+4)</f>
        <v>48</v>
      </c>
      <c r="D27" t="s">
        <v>44</v>
      </c>
      <c r="F27">
        <v>24</v>
      </c>
      <c r="G27" s="3">
        <v>373</v>
      </c>
      <c r="H27" t="s">
        <v>19</v>
      </c>
      <c r="I27">
        <v>6000</v>
      </c>
      <c r="J27">
        <v>460</v>
      </c>
      <c r="K27">
        <v>316</v>
      </c>
      <c r="L27">
        <v>187</v>
      </c>
      <c r="M27">
        <v>403</v>
      </c>
      <c r="N27">
        <v>316</v>
      </c>
      <c r="O27">
        <v>316</v>
      </c>
      <c r="P27">
        <f>P25*5</f>
        <v>1000</v>
      </c>
      <c r="Q27">
        <f>Q25*5</f>
        <v>1000</v>
      </c>
      <c r="R27">
        <v>200</v>
      </c>
      <c r="S27">
        <v>120</v>
      </c>
      <c r="T27">
        <v>240</v>
      </c>
      <c r="U27">
        <v>480</v>
      </c>
      <c r="V27">
        <v>7350</v>
      </c>
      <c r="W27">
        <v>7350</v>
      </c>
      <c r="X27">
        <v>7350</v>
      </c>
      <c r="Y27">
        <v>7350</v>
      </c>
      <c r="Z27">
        <v>1500</v>
      </c>
      <c r="AA27">
        <v>1500</v>
      </c>
      <c r="AB27">
        <v>210</v>
      </c>
      <c r="AC27">
        <v>150</v>
      </c>
      <c r="AD27">
        <v>930</v>
      </c>
      <c r="AE27">
        <v>150</v>
      </c>
      <c r="AF27">
        <v>150</v>
      </c>
      <c r="AG27">
        <v>2100</v>
      </c>
      <c r="AH27">
        <v>2100</v>
      </c>
      <c r="AI27">
        <v>2100</v>
      </c>
      <c r="AJ27">
        <v>2100</v>
      </c>
      <c r="AK27">
        <v>1000</v>
      </c>
      <c r="AL27">
        <v>1500</v>
      </c>
      <c r="AM27">
        <v>2000</v>
      </c>
      <c r="AN27">
        <v>1120</v>
      </c>
      <c r="AO27">
        <v>2100</v>
      </c>
      <c r="AP27">
        <v>3200</v>
      </c>
      <c r="AQ27">
        <v>2100</v>
      </c>
      <c r="AR27">
        <v>3200</v>
      </c>
      <c r="AS27">
        <v>2100</v>
      </c>
      <c r="AT27" s="4">
        <v>6000</v>
      </c>
      <c r="AU27" s="4">
        <v>400</v>
      </c>
      <c r="AV27" s="4">
        <v>400</v>
      </c>
      <c r="AW27" s="4">
        <v>400</v>
      </c>
      <c r="AX27" s="4">
        <v>400</v>
      </c>
      <c r="AY27" s="4">
        <v>4500</v>
      </c>
      <c r="AZ27" s="4">
        <v>200</v>
      </c>
      <c r="BA27" s="4">
        <f>BA25*5</f>
        <v>325</v>
      </c>
      <c r="BB27" s="4">
        <f>BB25*20</f>
        <v>2100</v>
      </c>
      <c r="BC27" s="4">
        <v>2100</v>
      </c>
      <c r="BD27" s="4">
        <v>250</v>
      </c>
      <c r="BE27" s="4">
        <v>200</v>
      </c>
      <c r="BF27" s="4">
        <f>(BF25-BF26)*30</f>
        <v>1500</v>
      </c>
      <c r="BG27">
        <f>(BG25-BG26)*30</f>
        <v>1500</v>
      </c>
      <c r="BH27" s="4">
        <f>(BH25-BH26)*30</f>
        <v>0</v>
      </c>
      <c r="CB27">
        <f>$C$147</f>
        <v>6000</v>
      </c>
    </row>
    <row r="28" spans="1:80" x14ac:dyDescent="0.3">
      <c r="A28" t="str">
        <f t="shared" si="3"/>
        <v xml:space="preserve">            &lt;/ParameterFileItem&gt;</v>
      </c>
      <c r="B28" t="s">
        <v>33</v>
      </c>
      <c r="F28">
        <v>25</v>
      </c>
      <c r="G28" s="3">
        <v>415</v>
      </c>
      <c r="H28" t="s">
        <v>114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31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31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31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 s="4">
        <v>0</v>
      </c>
      <c r="AU28" s="4">
        <v>159</v>
      </c>
      <c r="AV28" s="4">
        <v>159</v>
      </c>
      <c r="AW28" s="4">
        <v>159</v>
      </c>
      <c r="AX28" s="4">
        <v>159</v>
      </c>
      <c r="AY28" s="4">
        <v>159</v>
      </c>
      <c r="AZ28" s="4">
        <v>31</v>
      </c>
      <c r="BA28" s="4">
        <v>159</v>
      </c>
      <c r="BB28" s="4">
        <v>159</v>
      </c>
      <c r="BC28" s="4">
        <v>7</v>
      </c>
      <c r="BD28" s="4">
        <v>159</v>
      </c>
      <c r="BE28" s="4">
        <v>159</v>
      </c>
      <c r="BF28" s="4">
        <v>159</v>
      </c>
      <c r="BG28">
        <v>159</v>
      </c>
      <c r="BH28" s="4"/>
      <c r="BJ28" s="5" t="s">
        <v>124</v>
      </c>
      <c r="CB28">
        <f>$C$153</f>
        <v>0</v>
      </c>
    </row>
    <row r="29" spans="1:80" x14ac:dyDescent="0.3">
      <c r="A29" t="str">
        <f t="shared" si="3"/>
        <v xml:space="preserve">            &lt;ParameterFileItem&gt;</v>
      </c>
      <c r="B29" t="s">
        <v>31</v>
      </c>
      <c r="F29">
        <v>26</v>
      </c>
      <c r="G29" s="3">
        <v>533</v>
      </c>
      <c r="H29" t="s">
        <v>118</v>
      </c>
      <c r="I29">
        <v>1360</v>
      </c>
      <c r="J29">
        <v>1360</v>
      </c>
      <c r="K29">
        <v>1360</v>
      </c>
      <c r="L29">
        <v>1360</v>
      </c>
      <c r="M29">
        <v>1360</v>
      </c>
      <c r="N29">
        <v>1360</v>
      </c>
      <c r="O29">
        <v>1360</v>
      </c>
      <c r="P29">
        <v>1360</v>
      </c>
      <c r="Q29">
        <v>1360</v>
      </c>
      <c r="R29">
        <v>1360</v>
      </c>
      <c r="S29">
        <v>1360</v>
      </c>
      <c r="T29">
        <v>1360</v>
      </c>
      <c r="U29">
        <v>1360</v>
      </c>
      <c r="V29">
        <v>1360</v>
      </c>
      <c r="W29">
        <v>1360</v>
      </c>
      <c r="X29">
        <v>1360</v>
      </c>
      <c r="Y29">
        <v>1360</v>
      </c>
      <c r="Z29">
        <v>1360</v>
      </c>
      <c r="AA29">
        <v>1360</v>
      </c>
      <c r="AB29">
        <v>-8192</v>
      </c>
      <c r="AC29">
        <v>-8192</v>
      </c>
      <c r="AD29">
        <v>-8192</v>
      </c>
      <c r="AE29">
        <v>-8192</v>
      </c>
      <c r="AF29">
        <v>-8192</v>
      </c>
      <c r="AG29">
        <v>1360</v>
      </c>
      <c r="AH29">
        <v>1360</v>
      </c>
      <c r="AI29">
        <v>1360</v>
      </c>
      <c r="AJ29">
        <v>1360</v>
      </c>
      <c r="AK29">
        <v>1360</v>
      </c>
      <c r="AL29">
        <v>1360</v>
      </c>
      <c r="AM29">
        <v>1360</v>
      </c>
      <c r="AN29">
        <v>1360</v>
      </c>
      <c r="AO29">
        <v>1360</v>
      </c>
      <c r="AP29">
        <v>1360</v>
      </c>
      <c r="AQ29">
        <v>1360</v>
      </c>
      <c r="AR29">
        <v>1360</v>
      </c>
      <c r="AS29">
        <v>1360</v>
      </c>
      <c r="AT29" s="4">
        <v>1360</v>
      </c>
      <c r="AU29" s="4">
        <v>1360</v>
      </c>
      <c r="AV29" s="4">
        <v>1360</v>
      </c>
      <c r="AW29" s="4">
        <v>1360</v>
      </c>
      <c r="AX29" s="4">
        <v>1360</v>
      </c>
      <c r="AY29" s="4">
        <v>1360</v>
      </c>
      <c r="AZ29" s="4">
        <v>-8192</v>
      </c>
      <c r="BA29" s="4">
        <v>1360</v>
      </c>
      <c r="BB29" s="4">
        <v>1360</v>
      </c>
      <c r="BC29" s="4">
        <v>1360</v>
      </c>
      <c r="BD29" s="4">
        <v>1360</v>
      </c>
      <c r="BE29" s="4">
        <v>1360</v>
      </c>
      <c r="BF29" s="4">
        <v>1360</v>
      </c>
      <c r="BG29">
        <v>1360</v>
      </c>
      <c r="BH29" s="4"/>
      <c r="BJ29" s="5" t="s">
        <v>128</v>
      </c>
      <c r="BM29" s="8" t="s">
        <v>137</v>
      </c>
      <c r="CB29">
        <f>$C$159</f>
        <v>1360</v>
      </c>
    </row>
    <row r="30" spans="1:80" x14ac:dyDescent="0.3">
      <c r="A30" t="str">
        <f t="shared" si="3"/>
        <v xml:space="preserve">                &lt;ViewType&gt;ReadOnly&lt;/ViewType&gt;</v>
      </c>
      <c r="B30" t="s">
        <v>32</v>
      </c>
      <c r="F30">
        <v>27</v>
      </c>
      <c r="G30" s="3">
        <v>534</v>
      </c>
      <c r="H30" t="s">
        <v>119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8192</v>
      </c>
      <c r="AC30">
        <v>8192</v>
      </c>
      <c r="AD30">
        <v>8192</v>
      </c>
      <c r="AE30">
        <v>8192</v>
      </c>
      <c r="AF30">
        <v>8192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 s="4">
        <v>0</v>
      </c>
      <c r="AU30" s="4">
        <v>0</v>
      </c>
      <c r="AV30" s="4">
        <v>0</v>
      </c>
      <c r="AW30" s="4">
        <v>0</v>
      </c>
      <c r="AX30" s="4">
        <v>0</v>
      </c>
      <c r="AY30" s="4">
        <v>0</v>
      </c>
      <c r="AZ30" s="4">
        <v>8192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>
        <v>0</v>
      </c>
      <c r="BH30" s="4"/>
      <c r="BJ30" s="5" t="s">
        <v>129</v>
      </c>
      <c r="BM30" s="8"/>
      <c r="CB30">
        <f>$C$165</f>
        <v>0</v>
      </c>
    </row>
    <row r="31" spans="1:80" x14ac:dyDescent="0.3">
      <c r="A31" t="str">
        <f t="shared" si="3"/>
        <v xml:space="preserve">                &lt;Address&gt;241&lt;/Address&gt;</v>
      </c>
      <c r="B31" t="s">
        <v>40</v>
      </c>
      <c r="C31">
        <f>VLOOKUP(E31,$F$4:$G$37,2)</f>
        <v>241</v>
      </c>
      <c r="D31" t="s">
        <v>39</v>
      </c>
      <c r="E31">
        <v>5</v>
      </c>
      <c r="F31">
        <v>28</v>
      </c>
      <c r="G31" s="3">
        <v>535</v>
      </c>
      <c r="H31" t="s">
        <v>120</v>
      </c>
      <c r="I31">
        <v>16731</v>
      </c>
      <c r="J31">
        <v>16731</v>
      </c>
      <c r="K31">
        <v>16731</v>
      </c>
      <c r="L31">
        <v>16731</v>
      </c>
      <c r="M31">
        <v>16731</v>
      </c>
      <c r="N31">
        <v>16731</v>
      </c>
      <c r="O31">
        <v>16731</v>
      </c>
      <c r="P31">
        <v>16731</v>
      </c>
      <c r="Q31">
        <v>16731</v>
      </c>
      <c r="R31">
        <v>16731</v>
      </c>
      <c r="S31">
        <v>16731</v>
      </c>
      <c r="T31">
        <v>16731</v>
      </c>
      <c r="U31">
        <v>16731</v>
      </c>
      <c r="V31">
        <v>16731</v>
      </c>
      <c r="W31">
        <v>16731</v>
      </c>
      <c r="X31">
        <v>16731</v>
      </c>
      <c r="Y31">
        <v>16731</v>
      </c>
      <c r="Z31">
        <v>16731</v>
      </c>
      <c r="AA31">
        <v>16731</v>
      </c>
      <c r="AB31">
        <v>352</v>
      </c>
      <c r="AC31">
        <v>352</v>
      </c>
      <c r="AD31">
        <v>352</v>
      </c>
      <c r="AE31">
        <v>352</v>
      </c>
      <c r="AF31">
        <v>352</v>
      </c>
      <c r="AG31">
        <v>16731</v>
      </c>
      <c r="AH31">
        <v>16731</v>
      </c>
      <c r="AI31">
        <v>16731</v>
      </c>
      <c r="AJ31">
        <v>16731</v>
      </c>
      <c r="AK31">
        <v>16731</v>
      </c>
      <c r="AL31">
        <v>16731</v>
      </c>
      <c r="AM31">
        <v>16731</v>
      </c>
      <c r="AN31">
        <v>16731</v>
      </c>
      <c r="AO31">
        <v>16731</v>
      </c>
      <c r="AP31">
        <v>16731</v>
      </c>
      <c r="AQ31">
        <v>16731</v>
      </c>
      <c r="AR31">
        <v>16731</v>
      </c>
      <c r="AS31">
        <v>16731</v>
      </c>
      <c r="AT31" s="4">
        <v>16731</v>
      </c>
      <c r="AU31" s="4">
        <v>16731</v>
      </c>
      <c r="AV31" s="4">
        <v>16731</v>
      </c>
      <c r="AW31" s="4">
        <v>16731</v>
      </c>
      <c r="AX31" s="4">
        <v>16731</v>
      </c>
      <c r="AY31" s="4">
        <v>16731</v>
      </c>
      <c r="AZ31" s="4">
        <v>352</v>
      </c>
      <c r="BA31" s="4">
        <v>16731</v>
      </c>
      <c r="BB31" s="4">
        <v>16731</v>
      </c>
      <c r="BC31" s="4">
        <v>16731</v>
      </c>
      <c r="BD31" s="4">
        <v>16731</v>
      </c>
      <c r="BE31" s="4">
        <v>16731</v>
      </c>
      <c r="BF31" s="4">
        <v>16731</v>
      </c>
      <c r="BG31">
        <v>16731</v>
      </c>
      <c r="BH31" s="4"/>
      <c r="BJ31" s="5" t="s">
        <v>130</v>
      </c>
      <c r="BM31" s="8" t="s">
        <v>138</v>
      </c>
      <c r="CB31">
        <f>$C$171</f>
        <v>16731</v>
      </c>
    </row>
    <row r="32" spans="1:80" x14ac:dyDescent="0.3">
      <c r="A32" t="str">
        <f t="shared" si="3"/>
        <v xml:space="preserve">                &lt;PropertyName&gt;UNDERVOLTAGETHRESHOLD&lt;/PropertyName&gt;</v>
      </c>
      <c r="B32" t="s">
        <v>41</v>
      </c>
      <c r="C32" t="str">
        <f>VLOOKUP(C31,$G$4:$H$37,2,FALSE)</f>
        <v>UNDERVOLTAGETHRESHOLD</v>
      </c>
      <c r="D32" t="s">
        <v>42</v>
      </c>
      <c r="F32">
        <v>29</v>
      </c>
      <c r="G32" s="3">
        <v>536</v>
      </c>
      <c r="H32" t="s">
        <v>121</v>
      </c>
      <c r="I32">
        <v>66</v>
      </c>
      <c r="J32">
        <v>66</v>
      </c>
      <c r="K32">
        <v>66</v>
      </c>
      <c r="L32">
        <v>66</v>
      </c>
      <c r="M32">
        <v>66</v>
      </c>
      <c r="N32">
        <v>66</v>
      </c>
      <c r="O32">
        <v>66</v>
      </c>
      <c r="P32">
        <v>66</v>
      </c>
      <c r="Q32">
        <v>66</v>
      </c>
      <c r="R32">
        <v>66</v>
      </c>
      <c r="S32">
        <v>66</v>
      </c>
      <c r="T32">
        <v>66</v>
      </c>
      <c r="U32">
        <v>66</v>
      </c>
      <c r="V32">
        <v>66</v>
      </c>
      <c r="W32">
        <v>66</v>
      </c>
      <c r="X32">
        <v>66</v>
      </c>
      <c r="Y32">
        <v>66</v>
      </c>
      <c r="Z32">
        <v>66</v>
      </c>
      <c r="AA32">
        <v>66</v>
      </c>
      <c r="AB32">
        <v>15932</v>
      </c>
      <c r="AC32">
        <v>15932</v>
      </c>
      <c r="AD32">
        <v>15932</v>
      </c>
      <c r="AE32">
        <v>15932</v>
      </c>
      <c r="AF32">
        <v>15932</v>
      </c>
      <c r="AG32">
        <v>66</v>
      </c>
      <c r="AH32">
        <v>66</v>
      </c>
      <c r="AI32">
        <v>66</v>
      </c>
      <c r="AJ32">
        <v>66</v>
      </c>
      <c r="AK32">
        <v>66</v>
      </c>
      <c r="AL32">
        <v>66</v>
      </c>
      <c r="AM32">
        <v>66</v>
      </c>
      <c r="AN32">
        <v>66</v>
      </c>
      <c r="AO32">
        <v>66</v>
      </c>
      <c r="AP32">
        <v>66</v>
      </c>
      <c r="AQ32">
        <v>66</v>
      </c>
      <c r="AR32">
        <v>66</v>
      </c>
      <c r="AS32">
        <v>66</v>
      </c>
      <c r="AT32" s="4">
        <v>66</v>
      </c>
      <c r="AU32" s="4">
        <v>66</v>
      </c>
      <c r="AV32" s="4">
        <v>66</v>
      </c>
      <c r="AW32" s="4">
        <v>66</v>
      </c>
      <c r="AX32" s="4">
        <v>66</v>
      </c>
      <c r="AY32" s="4">
        <v>66</v>
      </c>
      <c r="AZ32" s="4">
        <v>15932</v>
      </c>
      <c r="BA32" s="4">
        <v>66</v>
      </c>
      <c r="BB32" s="4">
        <v>66</v>
      </c>
      <c r="BC32" s="4">
        <v>66</v>
      </c>
      <c r="BD32" s="4">
        <v>66</v>
      </c>
      <c r="BE32" s="4">
        <v>66</v>
      </c>
      <c r="BF32" s="4">
        <v>66</v>
      </c>
      <c r="BG32">
        <v>66</v>
      </c>
      <c r="BH32" s="4"/>
      <c r="BJ32" s="5" t="s">
        <v>131</v>
      </c>
      <c r="BM32" s="8"/>
      <c r="CB32">
        <f>$C$177</f>
        <v>66</v>
      </c>
    </row>
    <row r="33" spans="1:80" x14ac:dyDescent="0.3">
      <c r="A33" t="str">
        <f t="shared" si="3"/>
        <v xml:space="preserve">                &lt;ParameterValue&gt;18&lt;/ParameterValue&gt;</v>
      </c>
      <c r="B33" t="s">
        <v>43</v>
      </c>
      <c r="C33">
        <f>VLOOKUP(E31,$F$4:$AAN$37,$H$1+4)</f>
        <v>18</v>
      </c>
      <c r="D33" t="s">
        <v>44</v>
      </c>
      <c r="F33">
        <v>30</v>
      </c>
      <c r="G33" s="3">
        <v>539</v>
      </c>
      <c r="H33" t="s">
        <v>115</v>
      </c>
      <c r="I33">
        <v>1296</v>
      </c>
      <c r="J33">
        <v>1296</v>
      </c>
      <c r="K33">
        <v>1296</v>
      </c>
      <c r="L33">
        <v>1296</v>
      </c>
      <c r="M33">
        <v>1296</v>
      </c>
      <c r="N33">
        <v>1296</v>
      </c>
      <c r="O33">
        <v>1296</v>
      </c>
      <c r="P33">
        <v>1296</v>
      </c>
      <c r="Q33">
        <v>1296</v>
      </c>
      <c r="R33">
        <v>1296</v>
      </c>
      <c r="S33">
        <v>1296</v>
      </c>
      <c r="T33">
        <v>1296</v>
      </c>
      <c r="U33">
        <v>1296</v>
      </c>
      <c r="V33">
        <v>1296</v>
      </c>
      <c r="W33">
        <v>1296</v>
      </c>
      <c r="X33">
        <v>1296</v>
      </c>
      <c r="Y33">
        <v>1296</v>
      </c>
      <c r="Z33">
        <v>1296</v>
      </c>
      <c r="AA33">
        <v>1296</v>
      </c>
      <c r="AB33">
        <v>-8187</v>
      </c>
      <c r="AC33">
        <v>-8187</v>
      </c>
      <c r="AD33">
        <v>-8187</v>
      </c>
      <c r="AE33">
        <v>-8187</v>
      </c>
      <c r="AF33">
        <v>-8187</v>
      </c>
      <c r="AG33">
        <v>1296</v>
      </c>
      <c r="AH33">
        <v>1296</v>
      </c>
      <c r="AI33">
        <v>1296</v>
      </c>
      <c r="AJ33">
        <v>1296</v>
      </c>
      <c r="AK33">
        <v>1296</v>
      </c>
      <c r="AL33">
        <v>1296</v>
      </c>
      <c r="AM33">
        <v>1296</v>
      </c>
      <c r="AN33">
        <v>1296</v>
      </c>
      <c r="AO33">
        <v>1296</v>
      </c>
      <c r="AP33">
        <v>1296</v>
      </c>
      <c r="AQ33">
        <v>1296</v>
      </c>
      <c r="AR33">
        <v>1296</v>
      </c>
      <c r="AS33">
        <v>1296</v>
      </c>
      <c r="AT33" s="4">
        <v>1296</v>
      </c>
      <c r="AU33" s="4">
        <v>1296</v>
      </c>
      <c r="AV33" s="4">
        <v>1296</v>
      </c>
      <c r="AW33" s="4">
        <v>1296</v>
      </c>
      <c r="AX33" s="4">
        <v>1296</v>
      </c>
      <c r="AY33" s="4">
        <v>1296</v>
      </c>
      <c r="AZ33" s="4">
        <v>-8187</v>
      </c>
      <c r="BA33" s="4">
        <v>1296</v>
      </c>
      <c r="BB33" s="4">
        <v>1296</v>
      </c>
      <c r="BC33" s="4">
        <v>429</v>
      </c>
      <c r="BD33" s="4">
        <v>1296</v>
      </c>
      <c r="BE33" s="4">
        <v>1296</v>
      </c>
      <c r="BF33" s="4">
        <v>1296</v>
      </c>
      <c r="BG33">
        <v>1296</v>
      </c>
      <c r="BH33" s="4"/>
      <c r="BJ33" s="5" t="s">
        <v>125</v>
      </c>
      <c r="BK33" s="5"/>
      <c r="BM33" s="6" t="s">
        <v>135</v>
      </c>
      <c r="BN33" s="7" t="s">
        <v>142</v>
      </c>
      <c r="CB33">
        <f>$C$183</f>
        <v>1296</v>
      </c>
    </row>
    <row r="34" spans="1:80" x14ac:dyDescent="0.3">
      <c r="A34" t="str">
        <f t="shared" si="3"/>
        <v xml:space="preserve">            &lt;/ParameterFileItem&gt;</v>
      </c>
      <c r="B34" t="s">
        <v>33</v>
      </c>
      <c r="F34">
        <v>31</v>
      </c>
      <c r="G34" s="3">
        <v>540</v>
      </c>
      <c r="H34" t="s">
        <v>122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8192</v>
      </c>
      <c r="AC34">
        <v>8192</v>
      </c>
      <c r="AD34">
        <v>8192</v>
      </c>
      <c r="AE34">
        <v>8192</v>
      </c>
      <c r="AF34">
        <v>8192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 s="4">
        <v>0</v>
      </c>
      <c r="AU34" s="4">
        <v>0</v>
      </c>
      <c r="AV34" s="4">
        <v>0</v>
      </c>
      <c r="AW34" s="4">
        <v>0</v>
      </c>
      <c r="AX34" s="4">
        <v>0</v>
      </c>
      <c r="AY34" s="4">
        <v>0</v>
      </c>
      <c r="AZ34" s="4">
        <v>8192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>
        <v>0</v>
      </c>
      <c r="BH34" s="4"/>
      <c r="BJ34" s="5" t="s">
        <v>132</v>
      </c>
      <c r="BK34" s="5"/>
      <c r="CB34">
        <f>$C$189</f>
        <v>0</v>
      </c>
    </row>
    <row r="35" spans="1:80" x14ac:dyDescent="0.3">
      <c r="A35" t="str">
        <f t="shared" si="3"/>
        <v xml:space="preserve">            &lt;ParameterFileItem&gt;</v>
      </c>
      <c r="B35" t="s">
        <v>31</v>
      </c>
      <c r="F35">
        <v>32</v>
      </c>
      <c r="G35" s="3">
        <v>541</v>
      </c>
      <c r="H35" t="s">
        <v>116</v>
      </c>
      <c r="I35">
        <v>15932</v>
      </c>
      <c r="J35">
        <v>15932</v>
      </c>
      <c r="K35">
        <v>15932</v>
      </c>
      <c r="L35">
        <v>15932</v>
      </c>
      <c r="M35">
        <v>15932</v>
      </c>
      <c r="N35">
        <v>15932</v>
      </c>
      <c r="O35">
        <v>15932</v>
      </c>
      <c r="P35">
        <v>15932</v>
      </c>
      <c r="Q35">
        <v>15932</v>
      </c>
      <c r="R35">
        <v>15932</v>
      </c>
      <c r="S35">
        <v>15932</v>
      </c>
      <c r="T35">
        <v>15932</v>
      </c>
      <c r="U35">
        <v>15932</v>
      </c>
      <c r="V35">
        <v>15932</v>
      </c>
      <c r="W35">
        <v>15932</v>
      </c>
      <c r="X35">
        <v>15932</v>
      </c>
      <c r="Y35">
        <v>15932</v>
      </c>
      <c r="Z35">
        <v>15932</v>
      </c>
      <c r="AA35">
        <v>15932</v>
      </c>
      <c r="AB35">
        <v>319</v>
      </c>
      <c r="AC35">
        <v>319</v>
      </c>
      <c r="AD35">
        <v>319</v>
      </c>
      <c r="AE35">
        <v>319</v>
      </c>
      <c r="AF35">
        <v>319</v>
      </c>
      <c r="AG35">
        <v>15932</v>
      </c>
      <c r="AH35">
        <v>15932</v>
      </c>
      <c r="AI35">
        <v>15932</v>
      </c>
      <c r="AJ35">
        <v>15932</v>
      </c>
      <c r="AK35">
        <v>15932</v>
      </c>
      <c r="AL35">
        <v>15932</v>
      </c>
      <c r="AM35">
        <v>15932</v>
      </c>
      <c r="AN35">
        <v>15932</v>
      </c>
      <c r="AO35">
        <v>15932</v>
      </c>
      <c r="AP35">
        <v>15932</v>
      </c>
      <c r="AQ35">
        <v>15932</v>
      </c>
      <c r="AR35">
        <v>15932</v>
      </c>
      <c r="AS35">
        <v>15932</v>
      </c>
      <c r="AT35" s="4">
        <v>15932</v>
      </c>
      <c r="AU35" s="4">
        <v>15932</v>
      </c>
      <c r="AV35" s="4">
        <v>15932</v>
      </c>
      <c r="AW35" s="4">
        <v>15932</v>
      </c>
      <c r="AX35" s="4">
        <v>15932</v>
      </c>
      <c r="AY35" s="4">
        <v>15932</v>
      </c>
      <c r="AZ35" s="4">
        <v>319</v>
      </c>
      <c r="BA35" s="4">
        <v>15932</v>
      </c>
      <c r="BB35" s="4">
        <v>15932</v>
      </c>
      <c r="BC35" s="4">
        <v>15976</v>
      </c>
      <c r="BD35" s="4">
        <v>15932</v>
      </c>
      <c r="BE35" s="4">
        <v>15932</v>
      </c>
      <c r="BF35" s="4">
        <v>15932</v>
      </c>
      <c r="BG35">
        <v>15932</v>
      </c>
      <c r="BH35" s="4"/>
      <c r="BJ35" s="5" t="s">
        <v>126</v>
      </c>
      <c r="BK35" s="5"/>
      <c r="BM35" s="8" t="s">
        <v>136</v>
      </c>
      <c r="CB35">
        <f>$C$195</f>
        <v>15932</v>
      </c>
    </row>
    <row r="36" spans="1:80" x14ac:dyDescent="0.3">
      <c r="A36" t="str">
        <f t="shared" si="3"/>
        <v xml:space="preserve">                &lt;ViewType&gt;ReadOnly&lt;/ViewType&gt;</v>
      </c>
      <c r="B36" t="s">
        <v>32</v>
      </c>
      <c r="F36">
        <v>33</v>
      </c>
      <c r="G36" s="3">
        <v>542</v>
      </c>
      <c r="H36" t="s">
        <v>117</v>
      </c>
      <c r="I36">
        <v>16447</v>
      </c>
      <c r="J36">
        <v>16447</v>
      </c>
      <c r="K36">
        <v>16447</v>
      </c>
      <c r="L36">
        <v>16447</v>
      </c>
      <c r="M36">
        <v>16447</v>
      </c>
      <c r="N36">
        <v>16447</v>
      </c>
      <c r="O36">
        <v>16447</v>
      </c>
      <c r="P36">
        <v>16447</v>
      </c>
      <c r="Q36">
        <v>16447</v>
      </c>
      <c r="R36">
        <v>16447</v>
      </c>
      <c r="S36">
        <v>16447</v>
      </c>
      <c r="T36">
        <v>16447</v>
      </c>
      <c r="U36">
        <v>16447</v>
      </c>
      <c r="V36">
        <v>16447</v>
      </c>
      <c r="W36">
        <v>16447</v>
      </c>
      <c r="X36">
        <v>16447</v>
      </c>
      <c r="Y36">
        <v>16447</v>
      </c>
      <c r="Z36">
        <v>16447</v>
      </c>
      <c r="AA36">
        <v>16447</v>
      </c>
      <c r="AB36">
        <v>16385</v>
      </c>
      <c r="AC36">
        <v>16385</v>
      </c>
      <c r="AD36">
        <v>16385</v>
      </c>
      <c r="AE36">
        <v>16385</v>
      </c>
      <c r="AF36">
        <v>16385</v>
      </c>
      <c r="AG36">
        <v>16447</v>
      </c>
      <c r="AH36">
        <v>16447</v>
      </c>
      <c r="AI36">
        <v>16447</v>
      </c>
      <c r="AJ36">
        <v>16447</v>
      </c>
      <c r="AK36">
        <v>16447</v>
      </c>
      <c r="AL36">
        <v>16447</v>
      </c>
      <c r="AM36">
        <v>16447</v>
      </c>
      <c r="AN36">
        <v>16447</v>
      </c>
      <c r="AO36">
        <v>16447</v>
      </c>
      <c r="AP36">
        <v>16447</v>
      </c>
      <c r="AQ36">
        <v>16447</v>
      </c>
      <c r="AR36">
        <v>16447</v>
      </c>
      <c r="AS36">
        <v>16447</v>
      </c>
      <c r="AT36" s="4">
        <v>16447</v>
      </c>
      <c r="AU36" s="4">
        <v>16447</v>
      </c>
      <c r="AV36" s="4">
        <v>16447</v>
      </c>
      <c r="AW36" s="4">
        <v>16447</v>
      </c>
      <c r="AX36" s="4">
        <v>16447</v>
      </c>
      <c r="AY36" s="4">
        <v>16447</v>
      </c>
      <c r="AZ36" s="4">
        <v>16385</v>
      </c>
      <c r="BA36" s="4">
        <v>16447</v>
      </c>
      <c r="BB36" s="4">
        <v>16447</v>
      </c>
      <c r="BC36" s="4">
        <v>873</v>
      </c>
      <c r="BD36" s="4">
        <v>16447</v>
      </c>
      <c r="BE36" s="4">
        <v>16447</v>
      </c>
      <c r="BF36" s="4">
        <v>16447</v>
      </c>
      <c r="BG36">
        <v>16447</v>
      </c>
      <c r="BH36" s="4"/>
      <c r="BJ36" s="5" t="s">
        <v>127</v>
      </c>
      <c r="BK36" s="5"/>
      <c r="BM36" s="8"/>
      <c r="CB36">
        <f>$C$201</f>
        <v>16447</v>
      </c>
    </row>
    <row r="37" spans="1:80" x14ac:dyDescent="0.3">
      <c r="A37" t="str">
        <f t="shared" si="3"/>
        <v xml:space="preserve">                &lt;Address&gt;270&lt;/Address&gt;</v>
      </c>
      <c r="B37" t="s">
        <v>40</v>
      </c>
      <c r="C37">
        <f>VLOOKUP(E37,$F$4:$G$37,2)</f>
        <v>270</v>
      </c>
      <c r="D37" t="s">
        <v>39</v>
      </c>
      <c r="E37">
        <v>6</v>
      </c>
      <c r="F37">
        <v>34</v>
      </c>
      <c r="G37" s="3">
        <v>599</v>
      </c>
      <c r="H37" t="s">
        <v>123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24</v>
      </c>
      <c r="AC37">
        <v>24</v>
      </c>
      <c r="AD37">
        <v>24</v>
      </c>
      <c r="AE37">
        <v>24</v>
      </c>
      <c r="AF37">
        <v>24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 s="4">
        <v>0</v>
      </c>
      <c r="AU37" s="4">
        <v>0</v>
      </c>
      <c r="AV37" s="4">
        <v>0</v>
      </c>
      <c r="AW37" s="4">
        <v>0</v>
      </c>
      <c r="AX37" s="4">
        <v>0</v>
      </c>
      <c r="AY37" s="4">
        <v>0</v>
      </c>
      <c r="AZ37" s="4">
        <v>24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>
        <v>0</v>
      </c>
      <c r="BH37" s="4"/>
      <c r="BJ37" s="5" t="s">
        <v>133</v>
      </c>
      <c r="BK37" s="5"/>
      <c r="BN37" s="7" t="s">
        <v>143</v>
      </c>
      <c r="CB37">
        <f>$C$207</f>
        <v>0</v>
      </c>
    </row>
    <row r="38" spans="1:80" x14ac:dyDescent="0.3">
      <c r="A38" t="str">
        <f t="shared" si="3"/>
        <v xml:space="preserve">                &lt;PropertyName&gt;BrakeResistorOnVoltage_puq7&lt;/PropertyName&gt;</v>
      </c>
      <c r="B38" t="s">
        <v>41</v>
      </c>
      <c r="C38" t="str">
        <f>VLOOKUP(C37,$G$4:$H$37,2,FALSE)</f>
        <v>BrakeResistorOnVoltage_puq7</v>
      </c>
      <c r="D38" t="s">
        <v>42</v>
      </c>
      <c r="F38">
        <v>35</v>
      </c>
      <c r="G38" s="3">
        <v>647</v>
      </c>
      <c r="H38" t="s">
        <v>182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W38" s="4"/>
      <c r="AX38" s="4"/>
      <c r="BC38" s="4">
        <v>557</v>
      </c>
      <c r="BF38" s="4">
        <v>0</v>
      </c>
      <c r="BG38">
        <v>0</v>
      </c>
      <c r="BH38" s="4"/>
      <c r="BJ38" s="4" t="s">
        <v>139</v>
      </c>
      <c r="BK38" s="4"/>
      <c r="BL38" s="4"/>
      <c r="BM38" s="4"/>
      <c r="BN38" s="9" t="s">
        <v>140</v>
      </c>
    </row>
    <row r="39" spans="1:80" x14ac:dyDescent="0.3">
      <c r="A39" t="str">
        <f t="shared" si="3"/>
        <v xml:space="preserve">                &lt;ParameterValue&gt;1.1875&lt;/ParameterValue&gt;</v>
      </c>
      <c r="B39" t="s">
        <v>43</v>
      </c>
      <c r="C39">
        <f>VLOOKUP(E37,$F$4:$AAN$37,$H$1+4)</f>
        <v>1.1875</v>
      </c>
      <c r="D39" t="s">
        <v>44</v>
      </c>
      <c r="F39">
        <v>36</v>
      </c>
      <c r="G39" s="3">
        <v>648</v>
      </c>
      <c r="H39" t="s">
        <v>183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W39" s="4"/>
      <c r="AX39" s="4"/>
      <c r="BC39" s="4">
        <v>0</v>
      </c>
      <c r="BF39" s="4">
        <v>0</v>
      </c>
      <c r="BG39">
        <v>0</v>
      </c>
      <c r="BH39" s="4"/>
      <c r="BJ39" s="4" t="s">
        <v>134</v>
      </c>
      <c r="BK39" s="4"/>
      <c r="BL39" s="4"/>
      <c r="BM39" s="4"/>
      <c r="BN39" s="9" t="s">
        <v>141</v>
      </c>
    </row>
    <row r="40" spans="1:80" x14ac:dyDescent="0.3">
      <c r="A40" t="str">
        <f t="shared" si="3"/>
        <v xml:space="preserve">            &lt;/ParameterFileItem&gt;</v>
      </c>
      <c r="B40" t="s">
        <v>33</v>
      </c>
      <c r="F40">
        <v>37</v>
      </c>
      <c r="G40" s="3">
        <v>649</v>
      </c>
      <c r="H40" t="s">
        <v>184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W40" s="4"/>
      <c r="AX40" s="4"/>
      <c r="BC40" s="4">
        <v>618</v>
      </c>
      <c r="BF40" s="4">
        <v>0</v>
      </c>
      <c r="BG40">
        <v>0</v>
      </c>
      <c r="BH40" s="4"/>
    </row>
    <row r="41" spans="1:80" x14ac:dyDescent="0.3">
      <c r="A41" t="str">
        <f t="shared" si="3"/>
        <v xml:space="preserve">            &lt;ParameterFileItem&gt;</v>
      </c>
      <c r="B41" t="s">
        <v>31</v>
      </c>
      <c r="F41">
        <v>38</v>
      </c>
      <c r="G41" s="3">
        <v>650</v>
      </c>
      <c r="H41" t="s">
        <v>185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W41" s="4"/>
      <c r="AX41" s="4"/>
      <c r="BC41" s="4">
        <v>613</v>
      </c>
      <c r="BF41" s="4">
        <v>0</v>
      </c>
      <c r="BG41">
        <v>0</v>
      </c>
      <c r="BH41" s="4"/>
    </row>
    <row r="42" spans="1:80" x14ac:dyDescent="0.3">
      <c r="A42" t="str">
        <f t="shared" si="3"/>
        <v xml:space="preserve">                &lt;ViewType&gt;ReadOnly&lt;/ViewType&gt;</v>
      </c>
      <c r="B42" t="s">
        <v>32</v>
      </c>
      <c r="F42">
        <v>39</v>
      </c>
      <c r="G42" s="3">
        <v>651</v>
      </c>
      <c r="H42" t="s">
        <v>186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W42" s="4"/>
      <c r="AX42" s="4"/>
      <c r="BC42" s="4">
        <v>22</v>
      </c>
      <c r="BF42" s="4">
        <v>0</v>
      </c>
      <c r="BG42">
        <v>0</v>
      </c>
      <c r="BH42" s="4"/>
    </row>
    <row r="43" spans="1:80" x14ac:dyDescent="0.3">
      <c r="A43" t="str">
        <f t="shared" si="3"/>
        <v xml:space="preserve">                &lt;Address&gt;322&lt;/Address&gt;</v>
      </c>
      <c r="B43" t="s">
        <v>40</v>
      </c>
      <c r="C43">
        <f>VLOOKUP(E43,$F$4:$G$37,2)</f>
        <v>322</v>
      </c>
      <c r="D43" t="s">
        <v>39</v>
      </c>
      <c r="E43">
        <v>7</v>
      </c>
      <c r="F43">
        <v>40</v>
      </c>
      <c r="G43" s="3">
        <v>652</v>
      </c>
      <c r="H43" t="s">
        <v>187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W43" s="4"/>
      <c r="AX43" s="4"/>
      <c r="BC43" s="4">
        <v>1000</v>
      </c>
      <c r="BF43" s="4">
        <v>0</v>
      </c>
      <c r="BG43">
        <v>0</v>
      </c>
      <c r="BH43" s="4"/>
    </row>
    <row r="44" spans="1:80" x14ac:dyDescent="0.3">
      <c r="A44" t="str">
        <f t="shared" si="3"/>
        <v xml:space="preserve">                &lt;PropertyName&gt;LowVoltageFoldbackStartingVoltage_q7&lt;/PropertyName&gt;</v>
      </c>
      <c r="B44" t="s">
        <v>41</v>
      </c>
      <c r="C44" t="str">
        <f>VLOOKUP(C43,$G$4:$H$37,2,FALSE)</f>
        <v>LowVoltageFoldbackStartingVoltage_q7</v>
      </c>
      <c r="D44" t="s">
        <v>42</v>
      </c>
      <c r="F44">
        <v>41</v>
      </c>
      <c r="G44" s="3">
        <v>543</v>
      </c>
      <c r="H44" t="s">
        <v>188</v>
      </c>
      <c r="I44">
        <v>0</v>
      </c>
      <c r="J44">
        <v>22</v>
      </c>
      <c r="K44">
        <v>22</v>
      </c>
      <c r="L44">
        <v>22</v>
      </c>
      <c r="M44">
        <v>22</v>
      </c>
      <c r="N44">
        <v>22</v>
      </c>
      <c r="O44">
        <v>22</v>
      </c>
      <c r="P44">
        <v>22</v>
      </c>
      <c r="Q44">
        <v>22</v>
      </c>
      <c r="R44">
        <v>22</v>
      </c>
      <c r="S44">
        <v>22</v>
      </c>
      <c r="T44">
        <v>22</v>
      </c>
      <c r="U44">
        <v>22</v>
      </c>
      <c r="V44">
        <v>22</v>
      </c>
      <c r="W44">
        <v>22</v>
      </c>
      <c r="X44">
        <v>22</v>
      </c>
      <c r="Y44">
        <v>22</v>
      </c>
      <c r="Z44">
        <v>22</v>
      </c>
      <c r="AA44">
        <v>22</v>
      </c>
      <c r="AB44">
        <v>22</v>
      </c>
      <c r="AC44">
        <v>22</v>
      </c>
      <c r="AD44">
        <v>22</v>
      </c>
      <c r="AE44">
        <v>22</v>
      </c>
      <c r="AF44">
        <v>22</v>
      </c>
      <c r="AG44">
        <v>22</v>
      </c>
      <c r="AH44">
        <v>22</v>
      </c>
      <c r="AI44">
        <v>22</v>
      </c>
      <c r="AJ44">
        <v>22</v>
      </c>
      <c r="AK44">
        <v>22</v>
      </c>
      <c r="AL44">
        <v>22</v>
      </c>
      <c r="AM44">
        <v>22</v>
      </c>
      <c r="AN44">
        <v>22</v>
      </c>
      <c r="AO44">
        <v>22</v>
      </c>
      <c r="AP44">
        <v>22</v>
      </c>
      <c r="AQ44">
        <v>22</v>
      </c>
      <c r="AR44">
        <v>22</v>
      </c>
      <c r="AS44">
        <v>22</v>
      </c>
      <c r="AW44" s="4"/>
      <c r="AX44" s="4"/>
      <c r="BC44" s="4">
        <v>22</v>
      </c>
      <c r="BF44" s="4">
        <v>22</v>
      </c>
      <c r="BG44">
        <v>22</v>
      </c>
      <c r="BH44" s="4"/>
    </row>
    <row r="45" spans="1:80" x14ac:dyDescent="0.3">
      <c r="A45" t="str">
        <f t="shared" si="3"/>
        <v xml:space="preserve">                &lt;ParameterValue&gt;38&lt;/ParameterValue&gt;</v>
      </c>
      <c r="B45" t="s">
        <v>43</v>
      </c>
      <c r="C45">
        <f>VLOOKUP(E43,$F$4:$AAN$37,$H$1+4)</f>
        <v>38</v>
      </c>
      <c r="D45" t="s">
        <v>44</v>
      </c>
      <c r="F45">
        <v>42</v>
      </c>
      <c r="G45" s="3">
        <v>544</v>
      </c>
      <c r="H45" t="s">
        <v>189</v>
      </c>
      <c r="I45">
        <v>0</v>
      </c>
      <c r="J45">
        <v>1000</v>
      </c>
      <c r="K45">
        <v>1000</v>
      </c>
      <c r="L45">
        <v>1000</v>
      </c>
      <c r="M45">
        <v>1000</v>
      </c>
      <c r="N45">
        <v>1000</v>
      </c>
      <c r="O45">
        <v>1000</v>
      </c>
      <c r="P45">
        <v>1000</v>
      </c>
      <c r="Q45">
        <v>1000</v>
      </c>
      <c r="R45">
        <v>1000</v>
      </c>
      <c r="S45">
        <v>1000</v>
      </c>
      <c r="T45">
        <v>1000</v>
      </c>
      <c r="U45">
        <v>1000</v>
      </c>
      <c r="V45">
        <v>1000</v>
      </c>
      <c r="W45">
        <v>1000</v>
      </c>
      <c r="X45">
        <v>1000</v>
      </c>
      <c r="Y45">
        <v>1000</v>
      </c>
      <c r="Z45">
        <v>1000</v>
      </c>
      <c r="AA45">
        <v>1000</v>
      </c>
      <c r="AB45">
        <v>1000</v>
      </c>
      <c r="AC45">
        <v>1000</v>
      </c>
      <c r="AD45">
        <v>1000</v>
      </c>
      <c r="AE45">
        <v>1000</v>
      </c>
      <c r="AF45">
        <v>1000</v>
      </c>
      <c r="AG45">
        <v>1000</v>
      </c>
      <c r="AH45">
        <v>1000</v>
      </c>
      <c r="AI45">
        <v>1000</v>
      </c>
      <c r="AJ45">
        <v>1000</v>
      </c>
      <c r="AK45">
        <v>1000</v>
      </c>
      <c r="AL45">
        <v>1000</v>
      </c>
      <c r="AM45">
        <v>1000</v>
      </c>
      <c r="AN45">
        <v>1000</v>
      </c>
      <c r="AO45">
        <v>1000</v>
      </c>
      <c r="AP45">
        <v>1000</v>
      </c>
      <c r="AQ45">
        <v>1000</v>
      </c>
      <c r="AR45">
        <v>1000</v>
      </c>
      <c r="AS45">
        <v>1000</v>
      </c>
      <c r="AW45" s="4"/>
      <c r="AX45" s="4"/>
      <c r="BC45" s="4">
        <v>1000</v>
      </c>
      <c r="BF45" s="4">
        <v>1000</v>
      </c>
      <c r="BG45">
        <v>1000</v>
      </c>
      <c r="BH45" s="4"/>
    </row>
    <row r="46" spans="1:80" x14ac:dyDescent="0.3">
      <c r="A46" t="str">
        <f t="shared" si="3"/>
        <v xml:space="preserve">            &lt;/ParameterFileItem&gt;</v>
      </c>
      <c r="B46" t="s">
        <v>33</v>
      </c>
      <c r="F46">
        <v>43</v>
      </c>
      <c r="G46" s="3">
        <v>537</v>
      </c>
      <c r="H46" t="s">
        <v>190</v>
      </c>
      <c r="I46">
        <v>0</v>
      </c>
      <c r="J46">
        <v>22</v>
      </c>
      <c r="K46">
        <v>22</v>
      </c>
      <c r="L46">
        <v>22</v>
      </c>
      <c r="M46">
        <v>22</v>
      </c>
      <c r="N46">
        <v>22</v>
      </c>
      <c r="O46">
        <v>22</v>
      </c>
      <c r="P46">
        <v>22</v>
      </c>
      <c r="Q46">
        <v>22</v>
      </c>
      <c r="R46">
        <v>22</v>
      </c>
      <c r="S46">
        <v>22</v>
      </c>
      <c r="T46">
        <v>22</v>
      </c>
      <c r="U46">
        <v>22</v>
      </c>
      <c r="V46">
        <v>22</v>
      </c>
      <c r="W46">
        <v>22</v>
      </c>
      <c r="X46">
        <v>22</v>
      </c>
      <c r="Y46">
        <v>22</v>
      </c>
      <c r="Z46">
        <v>22</v>
      </c>
      <c r="AA46">
        <v>22</v>
      </c>
      <c r="AB46">
        <v>22</v>
      </c>
      <c r="AC46">
        <v>22</v>
      </c>
      <c r="AD46">
        <v>22</v>
      </c>
      <c r="AE46">
        <v>22</v>
      </c>
      <c r="AF46">
        <v>22</v>
      </c>
      <c r="AG46">
        <v>22</v>
      </c>
      <c r="AH46">
        <v>22</v>
      </c>
      <c r="AI46">
        <v>22</v>
      </c>
      <c r="AJ46">
        <v>22</v>
      </c>
      <c r="AK46">
        <v>22</v>
      </c>
      <c r="AL46">
        <v>22</v>
      </c>
      <c r="AM46">
        <v>22</v>
      </c>
      <c r="AN46">
        <v>22</v>
      </c>
      <c r="AO46">
        <v>22</v>
      </c>
      <c r="AP46">
        <v>22</v>
      </c>
      <c r="AQ46">
        <v>22</v>
      </c>
      <c r="AR46">
        <v>22</v>
      </c>
      <c r="AS46">
        <v>22</v>
      </c>
      <c r="AW46" s="4"/>
      <c r="AX46" s="4"/>
      <c r="BC46" s="4">
        <v>22</v>
      </c>
      <c r="BF46" s="4">
        <v>22</v>
      </c>
      <c r="BG46">
        <v>22</v>
      </c>
      <c r="BH46" s="4"/>
    </row>
    <row r="47" spans="1:80" x14ac:dyDescent="0.3">
      <c r="A47" t="str">
        <f t="shared" si="3"/>
        <v xml:space="preserve">            &lt;ParameterFileItem&gt;</v>
      </c>
      <c r="B47" t="s">
        <v>31</v>
      </c>
      <c r="F47">
        <v>44</v>
      </c>
      <c r="G47" s="3">
        <v>538</v>
      </c>
      <c r="H47" t="s">
        <v>191</v>
      </c>
      <c r="I47">
        <v>0</v>
      </c>
      <c r="J47">
        <v>1000</v>
      </c>
      <c r="K47">
        <v>1000</v>
      </c>
      <c r="L47">
        <v>1000</v>
      </c>
      <c r="M47">
        <v>1000</v>
      </c>
      <c r="N47">
        <v>1000</v>
      </c>
      <c r="O47">
        <v>1000</v>
      </c>
      <c r="P47">
        <v>1000</v>
      </c>
      <c r="Q47">
        <v>1000</v>
      </c>
      <c r="R47">
        <v>1000</v>
      </c>
      <c r="S47">
        <v>1000</v>
      </c>
      <c r="T47">
        <v>1000</v>
      </c>
      <c r="U47">
        <v>1000</v>
      </c>
      <c r="V47">
        <v>1000</v>
      </c>
      <c r="W47">
        <v>1000</v>
      </c>
      <c r="X47">
        <v>1000</v>
      </c>
      <c r="Y47">
        <v>1000</v>
      </c>
      <c r="Z47">
        <v>1000</v>
      </c>
      <c r="AA47">
        <v>1000</v>
      </c>
      <c r="AB47">
        <v>1000</v>
      </c>
      <c r="AC47">
        <v>1000</v>
      </c>
      <c r="AD47">
        <v>1000</v>
      </c>
      <c r="AE47">
        <v>1000</v>
      </c>
      <c r="AF47">
        <v>1000</v>
      </c>
      <c r="AG47">
        <v>1000</v>
      </c>
      <c r="AH47">
        <v>1000</v>
      </c>
      <c r="AI47">
        <v>1000</v>
      </c>
      <c r="AJ47">
        <v>1000</v>
      </c>
      <c r="AK47">
        <v>1000</v>
      </c>
      <c r="AL47">
        <v>1000</v>
      </c>
      <c r="AM47">
        <v>1000</v>
      </c>
      <c r="AN47">
        <v>1000</v>
      </c>
      <c r="AO47">
        <v>1000</v>
      </c>
      <c r="AP47">
        <v>1000</v>
      </c>
      <c r="AQ47">
        <v>1000</v>
      </c>
      <c r="AR47">
        <v>1000</v>
      </c>
      <c r="AS47">
        <v>1000</v>
      </c>
      <c r="AW47" s="4"/>
      <c r="AX47" s="4"/>
      <c r="BC47" s="4">
        <v>1000</v>
      </c>
      <c r="BF47" s="4">
        <v>1000</v>
      </c>
      <c r="BG47">
        <v>1000</v>
      </c>
      <c r="BH47" s="4"/>
    </row>
    <row r="48" spans="1:80" x14ac:dyDescent="0.3">
      <c r="A48" t="str">
        <f t="shared" si="3"/>
        <v xml:space="preserve">                &lt;ViewType&gt;ReadOnly&lt;/ViewType&gt;</v>
      </c>
      <c r="B48" t="s">
        <v>32</v>
      </c>
      <c r="AQ48"/>
      <c r="AS48"/>
      <c r="AW48" s="4"/>
      <c r="AX48" s="4"/>
      <c r="BG48"/>
      <c r="BH48" s="4"/>
    </row>
    <row r="49" spans="1:60" x14ac:dyDescent="0.3">
      <c r="A49" t="str">
        <f t="shared" si="3"/>
        <v xml:space="preserve">                &lt;Address&gt;339&lt;/Address&gt;</v>
      </c>
      <c r="B49" t="s">
        <v>40</v>
      </c>
      <c r="C49">
        <f>VLOOKUP(E49,$F$4:$G$37,2)</f>
        <v>339</v>
      </c>
      <c r="D49" t="s">
        <v>39</v>
      </c>
      <c r="E49">
        <v>8</v>
      </c>
      <c r="AQ49"/>
      <c r="AS49"/>
      <c r="AW49" s="4"/>
      <c r="AX49" s="4"/>
      <c r="BG49"/>
      <c r="BH49" s="4"/>
    </row>
    <row r="50" spans="1:60" x14ac:dyDescent="0.3">
      <c r="A50" t="str">
        <f t="shared" si="3"/>
        <v xml:space="preserve">                &lt;PropertyName&gt;Battery0AFoldbackStartingLowVoltage_q7&lt;/PropertyName&gt;</v>
      </c>
      <c r="B50" t="s">
        <v>41</v>
      </c>
      <c r="C50" t="str">
        <f>VLOOKUP(C49,$G$4:$H$37,2,FALSE)</f>
        <v>Battery0AFoldbackStartingLowVoltage_q7</v>
      </c>
      <c r="D50" t="s">
        <v>42</v>
      </c>
      <c r="AQ50"/>
      <c r="AS50"/>
      <c r="AW50" s="4"/>
      <c r="AX50" s="4"/>
      <c r="BG50"/>
      <c r="BH50" s="4"/>
    </row>
    <row r="51" spans="1:60" x14ac:dyDescent="0.3">
      <c r="A51" t="str">
        <f t="shared" si="3"/>
        <v xml:space="preserve">                &lt;ParameterValue&gt;48.09375&lt;/ParameterValue&gt;</v>
      </c>
      <c r="B51" t="s">
        <v>43</v>
      </c>
      <c r="C51">
        <f>VLOOKUP(E49,$F$4:$AAN$37,$H$1+4)</f>
        <v>48.09375</v>
      </c>
      <c r="D51" t="s">
        <v>44</v>
      </c>
      <c r="AQ51"/>
      <c r="AS51"/>
      <c r="AW51" s="4"/>
      <c r="AX51" s="4"/>
      <c r="BG51"/>
      <c r="BH51" s="4"/>
    </row>
    <row r="52" spans="1:60" x14ac:dyDescent="0.3">
      <c r="A52" t="str">
        <f t="shared" si="3"/>
        <v xml:space="preserve">            &lt;/ParameterFileItem&gt;</v>
      </c>
      <c r="B52" t="s">
        <v>33</v>
      </c>
      <c r="AQ52"/>
      <c r="AS52"/>
      <c r="AW52" s="4"/>
      <c r="AX52" s="4"/>
      <c r="BG52"/>
      <c r="BH52" s="4"/>
    </row>
    <row r="53" spans="1:60" x14ac:dyDescent="0.3">
      <c r="A53" t="str">
        <f t="shared" si="3"/>
        <v xml:space="preserve">            &lt;ParameterFileItem&gt;</v>
      </c>
      <c r="B53" t="s">
        <v>31</v>
      </c>
      <c r="AQ53"/>
      <c r="AS53"/>
      <c r="AW53" s="4"/>
      <c r="AX53" s="4"/>
      <c r="BG53"/>
      <c r="BH53" s="4"/>
    </row>
    <row r="54" spans="1:60" x14ac:dyDescent="0.3">
      <c r="A54" t="str">
        <f t="shared" si="3"/>
        <v xml:space="preserve">                &lt;ViewType&gt;ReadOnly&lt;/ViewType&gt;</v>
      </c>
      <c r="B54" t="s">
        <v>32</v>
      </c>
      <c r="AQ54"/>
      <c r="AS54"/>
      <c r="AW54" s="4"/>
      <c r="AX54" s="4"/>
      <c r="BG54"/>
      <c r="BH54" s="4"/>
    </row>
    <row r="55" spans="1:60" x14ac:dyDescent="0.3">
      <c r="A55" t="str">
        <f t="shared" si="3"/>
        <v xml:space="preserve">                &lt;Address&gt;340&lt;/Address&gt;</v>
      </c>
      <c r="B55" t="s">
        <v>40</v>
      </c>
      <c r="C55">
        <f>VLOOKUP(E55,$F$4:$G$37,2)</f>
        <v>340</v>
      </c>
      <c r="D55" t="s">
        <v>39</v>
      </c>
      <c r="E55">
        <v>9</v>
      </c>
      <c r="AQ55"/>
      <c r="AS55"/>
      <c r="AW55" s="4"/>
      <c r="AX55" s="4"/>
      <c r="BG55"/>
      <c r="BH55" s="4"/>
    </row>
    <row r="56" spans="1:60" x14ac:dyDescent="0.3">
      <c r="A56" t="str">
        <f t="shared" si="3"/>
        <v xml:space="preserve">                &lt;PropertyName&gt;Battery25AFoldbackStartingLowVoltage_q7&lt;/PropertyName&gt;</v>
      </c>
      <c r="B56" t="s">
        <v>41</v>
      </c>
      <c r="C56" t="str">
        <f>VLOOKUP(C55,$G$4:$H$37,2,FALSE)</f>
        <v>Battery25AFoldbackStartingLowVoltage_q7</v>
      </c>
      <c r="D56" t="s">
        <v>42</v>
      </c>
      <c r="AQ56"/>
      <c r="AS56"/>
      <c r="AW56" s="4"/>
      <c r="AX56" s="4"/>
      <c r="BG56"/>
      <c r="BH56" s="4"/>
    </row>
    <row r="57" spans="1:60" x14ac:dyDescent="0.3">
      <c r="A57" t="str">
        <f t="shared" si="3"/>
        <v xml:space="preserve">                &lt;ParameterValue&gt;47.1953125&lt;/ParameterValue&gt;</v>
      </c>
      <c r="B57" t="s">
        <v>43</v>
      </c>
      <c r="C57">
        <f>VLOOKUP(E55,$F$4:$AAN$37,$H$1+4)</f>
        <v>47.1953125</v>
      </c>
      <c r="D57" t="s">
        <v>44</v>
      </c>
      <c r="AQ57"/>
      <c r="AS57"/>
      <c r="AW57" s="4"/>
      <c r="AX57" s="4"/>
      <c r="BG57"/>
      <c r="BH57" s="4"/>
    </row>
    <row r="58" spans="1:60" x14ac:dyDescent="0.3">
      <c r="A58" t="str">
        <f t="shared" si="3"/>
        <v xml:space="preserve">            &lt;/ParameterFileItem&gt;</v>
      </c>
      <c r="B58" t="s">
        <v>33</v>
      </c>
      <c r="AQ58"/>
      <c r="AS58"/>
      <c r="AW58" s="4"/>
      <c r="AX58" s="4"/>
      <c r="BG58"/>
      <c r="BH58" s="4"/>
    </row>
    <row r="59" spans="1:60" x14ac:dyDescent="0.3">
      <c r="A59" t="str">
        <f t="shared" si="3"/>
        <v xml:space="preserve">            &lt;ParameterFileItem&gt;</v>
      </c>
      <c r="B59" t="s">
        <v>31</v>
      </c>
      <c r="AQ59"/>
      <c r="AS59"/>
      <c r="AW59" s="4"/>
      <c r="AX59" s="4"/>
      <c r="BG59"/>
      <c r="BH59" s="4"/>
    </row>
    <row r="60" spans="1:60" x14ac:dyDescent="0.3">
      <c r="A60" t="str">
        <f t="shared" si="3"/>
        <v xml:space="preserve">                &lt;ViewType&gt;ReadOnly&lt;/ViewType&gt;</v>
      </c>
      <c r="B60" t="s">
        <v>32</v>
      </c>
      <c r="AQ60"/>
      <c r="AS60"/>
      <c r="AW60" s="4"/>
      <c r="AX60" s="4"/>
      <c r="BG60"/>
      <c r="BH60" s="4"/>
    </row>
    <row r="61" spans="1:60" x14ac:dyDescent="0.3">
      <c r="A61" t="str">
        <f t="shared" si="3"/>
        <v xml:space="preserve">                &lt;Address&gt;341&lt;/Address&gt;</v>
      </c>
      <c r="B61" t="s">
        <v>40</v>
      </c>
      <c r="C61">
        <f>VLOOKUP(E61,$F$4:$G$37,2)</f>
        <v>341</v>
      </c>
      <c r="D61" t="s">
        <v>39</v>
      </c>
      <c r="E61">
        <v>10</v>
      </c>
      <c r="AQ61"/>
      <c r="AS61"/>
      <c r="AW61" s="4"/>
      <c r="AX61" s="4"/>
      <c r="BG61"/>
      <c r="BH61" s="4"/>
    </row>
    <row r="62" spans="1:60" x14ac:dyDescent="0.3">
      <c r="A62" t="str">
        <f t="shared" si="3"/>
        <v xml:space="preserve">                &lt;PropertyName&gt;Battery75AFoldbackStartingLowVoltage_q7&lt;/PropertyName&gt;</v>
      </c>
      <c r="B62" t="s">
        <v>41</v>
      </c>
      <c r="C62" t="str">
        <f>VLOOKUP(C61,$G$4:$H$37,2,FALSE)</f>
        <v>Battery75AFoldbackStartingLowVoltage_q7</v>
      </c>
      <c r="D62" t="s">
        <v>42</v>
      </c>
      <c r="AQ62"/>
      <c r="AS62"/>
      <c r="AW62" s="4"/>
      <c r="AX62" s="4"/>
      <c r="BG62"/>
      <c r="BH62" s="4"/>
    </row>
    <row r="63" spans="1:60" x14ac:dyDescent="0.3">
      <c r="A63" t="str">
        <f t="shared" si="3"/>
        <v xml:space="preserve">                &lt;ParameterValue&gt;45.5703125&lt;/ParameterValue&gt;</v>
      </c>
      <c r="B63" t="s">
        <v>43</v>
      </c>
      <c r="C63">
        <f>VLOOKUP(E61,$F$4:$AAN$37,$H$1+4)</f>
        <v>45.5703125</v>
      </c>
      <c r="D63" t="s">
        <v>44</v>
      </c>
      <c r="AQ63"/>
      <c r="AS63"/>
      <c r="AW63" s="4"/>
      <c r="AX63" s="4"/>
      <c r="BG63"/>
      <c r="BH63" s="4"/>
    </row>
    <row r="64" spans="1:60" x14ac:dyDescent="0.3">
      <c r="A64" t="str">
        <f t="shared" si="3"/>
        <v xml:space="preserve">            &lt;/ParameterFileItem&gt;</v>
      </c>
      <c r="B64" t="s">
        <v>33</v>
      </c>
      <c r="AQ64"/>
      <c r="AS64"/>
      <c r="AW64" s="4"/>
      <c r="AX64" s="4"/>
      <c r="BG64"/>
      <c r="BH64" s="4"/>
    </row>
    <row r="65" spans="1:60" x14ac:dyDescent="0.3">
      <c r="A65" t="str">
        <f t="shared" si="3"/>
        <v xml:space="preserve">            &lt;ParameterFileItem&gt;</v>
      </c>
      <c r="B65" t="s">
        <v>31</v>
      </c>
      <c r="AQ65"/>
      <c r="AS65"/>
      <c r="AW65" s="4"/>
      <c r="AX65" s="4"/>
      <c r="BG65"/>
      <c r="BH65" s="4"/>
    </row>
    <row r="66" spans="1:60" x14ac:dyDescent="0.3">
      <c r="A66" t="str">
        <f t="shared" ref="A66:A141" si="8">CONCATENATE(B66,C66,D66)</f>
        <v xml:space="preserve">                &lt;ViewType&gt;ReadOnly&lt;/ViewType&gt;</v>
      </c>
      <c r="B66" t="s">
        <v>32</v>
      </c>
      <c r="AQ66"/>
      <c r="AS66"/>
      <c r="AW66" s="4"/>
      <c r="AX66" s="4"/>
      <c r="BG66"/>
      <c r="BH66" s="4"/>
    </row>
    <row r="67" spans="1:60" x14ac:dyDescent="0.3">
      <c r="A67" t="str">
        <f t="shared" si="8"/>
        <v xml:space="preserve">                &lt;Address&gt;342&lt;/Address&gt;</v>
      </c>
      <c r="B67" t="s">
        <v>40</v>
      </c>
      <c r="C67">
        <f>VLOOKUP(E67,$F$4:$G$37,2)</f>
        <v>342</v>
      </c>
      <c r="D67" t="s">
        <v>39</v>
      </c>
      <c r="E67">
        <v>11</v>
      </c>
      <c r="AQ67"/>
      <c r="AS67"/>
      <c r="AW67" s="4"/>
      <c r="AX67" s="4"/>
      <c r="BG67"/>
      <c r="BH67" s="4"/>
    </row>
    <row r="68" spans="1:60" x14ac:dyDescent="0.3">
      <c r="A68" t="str">
        <f t="shared" si="8"/>
        <v xml:space="preserve">                &lt;PropertyName&gt;Battery150AFoldbackStartingLowVoltage_q7&lt;/PropertyName&gt;</v>
      </c>
      <c r="B68" t="s">
        <v>41</v>
      </c>
      <c r="C68" t="str">
        <f>VLOOKUP(C67,$G$4:$H$37,2,FALSE)</f>
        <v>Battery150AFoldbackStartingLowVoltage_q7</v>
      </c>
      <c r="D68" t="s">
        <v>42</v>
      </c>
      <c r="AQ68"/>
      <c r="AS68"/>
      <c r="AW68" s="4"/>
      <c r="AX68" s="4"/>
      <c r="BG68"/>
      <c r="BH68" s="4"/>
    </row>
    <row r="69" spans="1:60" x14ac:dyDescent="0.3">
      <c r="A69" t="str">
        <f t="shared" si="8"/>
        <v xml:space="preserve">                &lt;ParameterValue&gt;43.1953125&lt;/ParameterValue&gt;</v>
      </c>
      <c r="B69" t="s">
        <v>43</v>
      </c>
      <c r="C69">
        <f>VLOOKUP(E67,$F$4:$AAN$37,$H$1+4)</f>
        <v>43.1953125</v>
      </c>
      <c r="D69" t="s">
        <v>44</v>
      </c>
      <c r="AQ69"/>
      <c r="AS69"/>
      <c r="AW69" s="4"/>
      <c r="AX69" s="4"/>
      <c r="BG69"/>
      <c r="BH69" s="4"/>
    </row>
    <row r="70" spans="1:60" x14ac:dyDescent="0.3">
      <c r="A70" t="str">
        <f t="shared" si="8"/>
        <v xml:space="preserve">            &lt;/ParameterFileItem&gt;</v>
      </c>
      <c r="B70" t="s">
        <v>33</v>
      </c>
      <c r="AQ70"/>
      <c r="AS70"/>
      <c r="AW70" s="4"/>
      <c r="AX70" s="4"/>
      <c r="BG70"/>
      <c r="BH70" s="4"/>
    </row>
    <row r="71" spans="1:60" x14ac:dyDescent="0.3">
      <c r="A71" t="str">
        <f t="shared" si="8"/>
        <v xml:space="preserve">            &lt;ParameterFileItem&gt;</v>
      </c>
      <c r="B71" t="s">
        <v>31</v>
      </c>
      <c r="AQ71"/>
      <c r="AS71"/>
      <c r="AW71" s="4"/>
      <c r="AX71" s="4"/>
      <c r="BG71"/>
      <c r="BH71" s="4"/>
    </row>
    <row r="72" spans="1:60" x14ac:dyDescent="0.3">
      <c r="A72" t="str">
        <f t="shared" si="8"/>
        <v xml:space="preserve">                &lt;ViewType&gt;ReadOnly&lt;/ViewType&gt;</v>
      </c>
      <c r="B72" t="s">
        <v>32</v>
      </c>
      <c r="AQ72"/>
      <c r="AS72"/>
      <c r="AW72" s="4"/>
      <c r="AX72" s="4"/>
      <c r="BG72"/>
      <c r="BH72" s="4"/>
    </row>
    <row r="73" spans="1:60" x14ac:dyDescent="0.3">
      <c r="A73" t="str">
        <f t="shared" si="8"/>
        <v xml:space="preserve">                &lt;Address&gt;343&lt;/Address&gt;</v>
      </c>
      <c r="B73" t="s">
        <v>40</v>
      </c>
      <c r="C73">
        <f>VLOOKUP(E73,$F$4:$G$37,2)</f>
        <v>343</v>
      </c>
      <c r="D73" t="s">
        <v>39</v>
      </c>
      <c r="E73">
        <v>12</v>
      </c>
      <c r="AQ73"/>
      <c r="AS73"/>
      <c r="AW73" s="4"/>
      <c r="AX73" s="4"/>
      <c r="BG73"/>
      <c r="BH73" s="4"/>
    </row>
    <row r="74" spans="1:60" x14ac:dyDescent="0.3">
      <c r="A74" t="str">
        <f t="shared" si="8"/>
        <v xml:space="preserve">                &lt;PropertyName&gt;Battery225AFoldbackStartingLowVoltage_q7&lt;/PropertyName&gt;</v>
      </c>
      <c r="B74" t="s">
        <v>41</v>
      </c>
      <c r="C74" t="str">
        <f>VLOOKUP(C73,$G$4:$H$37,2,FALSE)</f>
        <v>Battery225AFoldbackStartingLowVoltage_q7</v>
      </c>
      <c r="D74" t="s">
        <v>42</v>
      </c>
      <c r="AQ74"/>
      <c r="AS74"/>
      <c r="AW74" s="4"/>
      <c r="AX74" s="4"/>
      <c r="BG74"/>
      <c r="BH74" s="4"/>
    </row>
    <row r="75" spans="1:60" x14ac:dyDescent="0.3">
      <c r="A75" t="str">
        <f t="shared" si="8"/>
        <v xml:space="preserve">                &lt;ParameterValue&gt;40.6953125&lt;/ParameterValue&gt;</v>
      </c>
      <c r="B75" t="s">
        <v>43</v>
      </c>
      <c r="C75">
        <f>VLOOKUP(E73,$F$4:$AAN$37,$H$1+4)</f>
        <v>40.6953125</v>
      </c>
      <c r="D75" t="s">
        <v>44</v>
      </c>
      <c r="AQ75"/>
      <c r="AS75"/>
      <c r="AW75" s="4"/>
      <c r="AX75" s="4"/>
      <c r="BG75"/>
      <c r="BH75" s="4"/>
    </row>
    <row r="76" spans="1:60" x14ac:dyDescent="0.3">
      <c r="A76" t="str">
        <f t="shared" si="8"/>
        <v xml:space="preserve">            &lt;/ParameterFileItem&gt;</v>
      </c>
      <c r="B76" t="s">
        <v>33</v>
      </c>
      <c r="AQ76"/>
      <c r="AS76"/>
      <c r="AW76" s="4"/>
      <c r="AX76" s="4"/>
      <c r="BG76"/>
      <c r="BH76" s="4"/>
    </row>
    <row r="77" spans="1:60" x14ac:dyDescent="0.3">
      <c r="A77" t="str">
        <f t="shared" si="8"/>
        <v xml:space="preserve">            &lt;ParameterFileItem&gt;</v>
      </c>
      <c r="B77" t="s">
        <v>31</v>
      </c>
      <c r="AQ77"/>
      <c r="AS77"/>
      <c r="AW77" s="4"/>
      <c r="AX77" s="4"/>
      <c r="BG77"/>
      <c r="BH77" s="4"/>
    </row>
    <row r="78" spans="1:60" x14ac:dyDescent="0.3">
      <c r="A78" t="str">
        <f t="shared" si="8"/>
        <v xml:space="preserve">                &lt;ViewType&gt;ReadOnly&lt;/ViewType&gt;</v>
      </c>
      <c r="B78" t="s">
        <v>32</v>
      </c>
      <c r="AQ78"/>
      <c r="AS78"/>
      <c r="AW78" s="4"/>
      <c r="AX78" s="4"/>
      <c r="BG78"/>
      <c r="BH78" s="4"/>
    </row>
    <row r="79" spans="1:60" x14ac:dyDescent="0.3">
      <c r="A79" t="str">
        <f t="shared" si="8"/>
        <v xml:space="preserve">                &lt;Address&gt;344&lt;/Address&gt;</v>
      </c>
      <c r="B79" t="s">
        <v>40</v>
      </c>
      <c r="C79">
        <f>VLOOKUP(E79,$F$4:$G$37,2)</f>
        <v>344</v>
      </c>
      <c r="D79" t="s">
        <v>39</v>
      </c>
      <c r="E79">
        <v>13</v>
      </c>
      <c r="AQ79"/>
      <c r="AS79"/>
      <c r="AW79" s="4"/>
      <c r="AX79" s="4"/>
      <c r="BG79"/>
      <c r="BH79" s="4"/>
    </row>
    <row r="80" spans="1:60" x14ac:dyDescent="0.3">
      <c r="A80" t="str">
        <f t="shared" si="8"/>
        <v xml:space="preserve">                &lt;PropertyName&gt;Battery0AFoldbackEndingLowVoltage_q7&lt;/PropertyName&gt;</v>
      </c>
      <c r="B80" t="s">
        <v>41</v>
      </c>
      <c r="C80" t="str">
        <f>VLOOKUP(C79,$G$4:$H$37,2,FALSE)</f>
        <v>Battery0AFoldbackEndingLowVoltage_q7</v>
      </c>
      <c r="D80" t="s">
        <v>42</v>
      </c>
      <c r="AQ80"/>
      <c r="AS80"/>
      <c r="AW80" s="4"/>
      <c r="AX80" s="4"/>
      <c r="BG80"/>
      <c r="BH80" s="4"/>
    </row>
    <row r="81" spans="1:60" x14ac:dyDescent="0.3">
      <c r="A81" t="str">
        <f t="shared" si="8"/>
        <v xml:space="preserve">                &lt;ParameterValue&gt;47&lt;/ParameterValue&gt;</v>
      </c>
      <c r="B81" t="s">
        <v>43</v>
      </c>
      <c r="C81">
        <f>VLOOKUP(E79,$F$4:$AAN$37,$H$1+4)</f>
        <v>47</v>
      </c>
      <c r="D81" t="s">
        <v>44</v>
      </c>
      <c r="AQ81"/>
      <c r="AS81"/>
      <c r="AW81" s="4"/>
      <c r="AX81" s="4"/>
      <c r="BG81"/>
      <c r="BH81" s="4"/>
    </row>
    <row r="82" spans="1:60" x14ac:dyDescent="0.3">
      <c r="A82" t="str">
        <f t="shared" si="8"/>
        <v xml:space="preserve">            &lt;/ParameterFileItem&gt;</v>
      </c>
      <c r="B82" t="s">
        <v>33</v>
      </c>
      <c r="AQ82"/>
      <c r="AS82"/>
      <c r="AW82" s="4"/>
      <c r="AX82" s="4"/>
      <c r="BG82"/>
      <c r="BH82" s="4"/>
    </row>
    <row r="83" spans="1:60" x14ac:dyDescent="0.3">
      <c r="A83" t="str">
        <f t="shared" si="8"/>
        <v xml:space="preserve">            &lt;ParameterFileItem&gt;</v>
      </c>
      <c r="B83" t="s">
        <v>31</v>
      </c>
      <c r="AQ83"/>
      <c r="AS83"/>
      <c r="AW83" s="4"/>
      <c r="AX83" s="4"/>
      <c r="BG83"/>
      <c r="BH83" s="4"/>
    </row>
    <row r="84" spans="1:60" x14ac:dyDescent="0.3">
      <c r="A84" t="str">
        <f t="shared" si="8"/>
        <v xml:space="preserve">                &lt;ViewType&gt;ReadOnly&lt;/ViewType&gt;</v>
      </c>
      <c r="B84" t="s">
        <v>32</v>
      </c>
      <c r="AQ84"/>
      <c r="AS84"/>
      <c r="AW84" s="4"/>
      <c r="AX84" s="4"/>
      <c r="BG84"/>
      <c r="BH84" s="4"/>
    </row>
    <row r="85" spans="1:60" x14ac:dyDescent="0.3">
      <c r="A85" t="str">
        <f t="shared" si="8"/>
        <v xml:space="preserve">                &lt;Address&gt;345&lt;/Address&gt;</v>
      </c>
      <c r="B85" t="s">
        <v>40</v>
      </c>
      <c r="C85">
        <f>VLOOKUP(E85,$F$4:$G$37,2)</f>
        <v>345</v>
      </c>
      <c r="D85" t="s">
        <v>39</v>
      </c>
      <c r="E85">
        <v>14</v>
      </c>
      <c r="AQ85"/>
      <c r="AS85"/>
      <c r="AW85" s="4"/>
      <c r="AX85" s="4"/>
      <c r="BG85"/>
      <c r="BH85" s="4"/>
    </row>
    <row r="86" spans="1:60" x14ac:dyDescent="0.3">
      <c r="A86" t="str">
        <f t="shared" si="8"/>
        <v xml:space="preserve">                &lt;PropertyName&gt;Battery25AFoldbackEndingLowVoltage_q7&lt;/PropertyName&gt;</v>
      </c>
      <c r="B86" t="s">
        <v>41</v>
      </c>
      <c r="C86" t="str">
        <f>VLOOKUP(C85,$G$4:$H$37,2,FALSE)</f>
        <v>Battery25AFoldbackEndingLowVoltage_q7</v>
      </c>
      <c r="D86" t="s">
        <v>42</v>
      </c>
      <c r="AQ86"/>
      <c r="AS86"/>
      <c r="AW86" s="4"/>
      <c r="AX86" s="4"/>
      <c r="BG86"/>
      <c r="BH86" s="4"/>
    </row>
    <row r="87" spans="1:60" x14ac:dyDescent="0.3">
      <c r="A87" t="str">
        <f t="shared" si="8"/>
        <v xml:space="preserve">                &lt;ParameterValue&gt;45.9140625&lt;/ParameterValue&gt;</v>
      </c>
      <c r="B87" t="s">
        <v>43</v>
      </c>
      <c r="C87">
        <f>VLOOKUP(E85,$F$4:$AAN$37,$H$1+4)</f>
        <v>45.9140625</v>
      </c>
      <c r="D87" t="s">
        <v>44</v>
      </c>
      <c r="AQ87"/>
      <c r="AS87"/>
      <c r="AW87" s="4"/>
      <c r="AX87" s="4"/>
      <c r="BG87"/>
      <c r="BH87" s="4"/>
    </row>
    <row r="88" spans="1:60" x14ac:dyDescent="0.3">
      <c r="A88" t="str">
        <f t="shared" si="8"/>
        <v xml:space="preserve">            &lt;/ParameterFileItem&gt;</v>
      </c>
      <c r="B88" t="s">
        <v>33</v>
      </c>
      <c r="AQ88"/>
      <c r="AS88"/>
      <c r="AW88" s="4"/>
      <c r="AX88" s="4"/>
      <c r="BG88"/>
      <c r="BH88" s="4"/>
    </row>
    <row r="89" spans="1:60" x14ac:dyDescent="0.3">
      <c r="A89" t="str">
        <f t="shared" si="8"/>
        <v xml:space="preserve">            &lt;ParameterFileItem&gt;</v>
      </c>
      <c r="B89" t="s">
        <v>31</v>
      </c>
      <c r="AQ89"/>
      <c r="AS89"/>
      <c r="AW89" s="4"/>
      <c r="AX89" s="4"/>
      <c r="BG89"/>
      <c r="BH89" s="4"/>
    </row>
    <row r="90" spans="1:60" x14ac:dyDescent="0.3">
      <c r="A90" t="str">
        <f t="shared" si="8"/>
        <v xml:space="preserve">                &lt;ViewType&gt;ReadOnly&lt;/ViewType&gt;</v>
      </c>
      <c r="B90" t="s">
        <v>32</v>
      </c>
      <c r="AQ90"/>
      <c r="AS90"/>
      <c r="AW90" s="4"/>
      <c r="AX90" s="4"/>
      <c r="BG90"/>
      <c r="BH90" s="4"/>
    </row>
    <row r="91" spans="1:60" x14ac:dyDescent="0.3">
      <c r="A91" t="str">
        <f t="shared" si="8"/>
        <v xml:space="preserve">                &lt;Address&gt;346&lt;/Address&gt;</v>
      </c>
      <c r="B91" t="s">
        <v>40</v>
      </c>
      <c r="C91">
        <f>VLOOKUP(E91,$F$4:$G$37,2)</f>
        <v>346</v>
      </c>
      <c r="D91" t="s">
        <v>39</v>
      </c>
      <c r="E91">
        <v>15</v>
      </c>
      <c r="AQ91"/>
      <c r="AS91"/>
      <c r="AW91" s="4"/>
      <c r="AX91" s="4"/>
      <c r="BG91"/>
      <c r="BH91" s="4"/>
    </row>
    <row r="92" spans="1:60" x14ac:dyDescent="0.3">
      <c r="A92" t="str">
        <f t="shared" si="8"/>
        <v xml:space="preserve">                &lt;PropertyName&gt;Battery75AFoldbackEndingLowVoltage_q7&lt;/PropertyName&gt;</v>
      </c>
      <c r="B92" t="s">
        <v>41</v>
      </c>
      <c r="C92" t="str">
        <f>VLOOKUP(C91,$G$4:$H$37,2,FALSE)</f>
        <v>Battery75AFoldbackEndingLowVoltage_q7</v>
      </c>
      <c r="D92" t="s">
        <v>42</v>
      </c>
      <c r="AQ92"/>
      <c r="AS92"/>
      <c r="AW92" s="4"/>
      <c r="AX92" s="4"/>
      <c r="BG92"/>
      <c r="BH92" s="4"/>
    </row>
    <row r="93" spans="1:60" x14ac:dyDescent="0.3">
      <c r="A93" t="str">
        <f t="shared" si="8"/>
        <v xml:space="preserve">                &lt;ParameterValue&gt;44&lt;/ParameterValue&gt;</v>
      </c>
      <c r="B93" t="s">
        <v>43</v>
      </c>
      <c r="C93">
        <f>VLOOKUP(E91,$F$4:$AAN$37,$H$1+4)</f>
        <v>44</v>
      </c>
      <c r="D93" t="s">
        <v>44</v>
      </c>
      <c r="AQ93"/>
      <c r="AS93"/>
      <c r="AW93" s="4"/>
      <c r="AX93" s="4"/>
      <c r="BG93"/>
      <c r="BH93" s="4"/>
    </row>
    <row r="94" spans="1:60" x14ac:dyDescent="0.3">
      <c r="A94" t="str">
        <f t="shared" si="8"/>
        <v xml:space="preserve">            &lt;/ParameterFileItem&gt;</v>
      </c>
      <c r="B94" t="s">
        <v>33</v>
      </c>
      <c r="AQ94"/>
      <c r="AS94"/>
      <c r="AW94" s="4"/>
      <c r="AX94" s="4"/>
      <c r="BG94"/>
      <c r="BH94" s="4"/>
    </row>
    <row r="95" spans="1:60" x14ac:dyDescent="0.3">
      <c r="A95" t="str">
        <f t="shared" si="8"/>
        <v xml:space="preserve">            &lt;ParameterFileItem&gt;</v>
      </c>
      <c r="B95" t="s">
        <v>31</v>
      </c>
      <c r="AQ95"/>
      <c r="AS95"/>
      <c r="AW95" s="4"/>
      <c r="AX95" s="4"/>
      <c r="BG95"/>
      <c r="BH95" s="4"/>
    </row>
    <row r="96" spans="1:60" x14ac:dyDescent="0.3">
      <c r="A96" t="str">
        <f t="shared" si="8"/>
        <v xml:space="preserve">                &lt;ViewType&gt;ReadOnly&lt;/ViewType&gt;</v>
      </c>
      <c r="B96" t="s">
        <v>32</v>
      </c>
      <c r="AQ96"/>
      <c r="AS96"/>
      <c r="AW96" s="4"/>
      <c r="AX96" s="4"/>
      <c r="BG96"/>
      <c r="BH96" s="4"/>
    </row>
    <row r="97" spans="1:60" x14ac:dyDescent="0.3">
      <c r="A97" t="str">
        <f t="shared" si="8"/>
        <v xml:space="preserve">                &lt;Address&gt;347&lt;/Address&gt;</v>
      </c>
      <c r="B97" t="s">
        <v>40</v>
      </c>
      <c r="C97">
        <f>VLOOKUP(E97,$F$4:$G$37,2)</f>
        <v>347</v>
      </c>
      <c r="D97" t="s">
        <v>39</v>
      </c>
      <c r="E97">
        <v>16</v>
      </c>
      <c r="AQ97"/>
      <c r="AS97"/>
      <c r="AW97" s="4"/>
      <c r="AX97" s="4"/>
      <c r="BG97"/>
      <c r="BH97" s="4"/>
    </row>
    <row r="98" spans="1:60" x14ac:dyDescent="0.3">
      <c r="A98" t="str">
        <f t="shared" si="8"/>
        <v xml:space="preserve">                &lt;PropertyName&gt;Battery150AFoldbackEndingLowVoltage_q7&lt;/PropertyName&gt;</v>
      </c>
      <c r="B98" t="s">
        <v>41</v>
      </c>
      <c r="C98" t="str">
        <f>VLOOKUP(C97,$G$4:$H$37,2,FALSE)</f>
        <v>Battery150AFoldbackEndingLowVoltage_q7</v>
      </c>
      <c r="D98" t="s">
        <v>42</v>
      </c>
      <c r="AQ98"/>
      <c r="AS98"/>
      <c r="AW98" s="4"/>
      <c r="AX98" s="4"/>
      <c r="BG98"/>
      <c r="BH98" s="4"/>
    </row>
    <row r="99" spans="1:60" x14ac:dyDescent="0.3">
      <c r="A99" t="str">
        <f t="shared" si="8"/>
        <v xml:space="preserve">                &lt;ParameterValue&gt;41&lt;/ParameterValue&gt;</v>
      </c>
      <c r="B99" t="s">
        <v>43</v>
      </c>
      <c r="C99">
        <f>VLOOKUP(E97,$F$4:$AAN$37,$H$1+4)</f>
        <v>41</v>
      </c>
      <c r="D99" t="s">
        <v>44</v>
      </c>
      <c r="AQ99"/>
      <c r="AS99"/>
      <c r="AW99" s="4"/>
      <c r="AX99" s="4"/>
      <c r="BG99"/>
      <c r="BH99" s="4"/>
    </row>
    <row r="100" spans="1:60" x14ac:dyDescent="0.3">
      <c r="A100" t="str">
        <f t="shared" si="8"/>
        <v xml:space="preserve">            &lt;/ParameterFileItem&gt;</v>
      </c>
      <c r="B100" t="s">
        <v>33</v>
      </c>
      <c r="AQ100"/>
      <c r="AS100"/>
      <c r="AW100" s="4"/>
      <c r="AX100" s="4"/>
      <c r="BG100"/>
      <c r="BH100" s="4"/>
    </row>
    <row r="101" spans="1:60" x14ac:dyDescent="0.3">
      <c r="A101" t="str">
        <f t="shared" si="8"/>
        <v xml:space="preserve">            &lt;ParameterFileItem&gt;</v>
      </c>
      <c r="B101" t="s">
        <v>31</v>
      </c>
      <c r="AQ101"/>
      <c r="AS101"/>
      <c r="AW101" s="4"/>
      <c r="AX101" s="4"/>
      <c r="BG101"/>
      <c r="BH101" s="4"/>
    </row>
    <row r="102" spans="1:60" x14ac:dyDescent="0.3">
      <c r="A102" t="str">
        <f t="shared" si="8"/>
        <v xml:space="preserve">                &lt;ViewType&gt;ReadOnly&lt;/ViewType&gt;</v>
      </c>
      <c r="B102" t="s">
        <v>32</v>
      </c>
      <c r="AQ102"/>
      <c r="AS102"/>
      <c r="AW102" s="4"/>
      <c r="AX102" s="4"/>
      <c r="BG102"/>
      <c r="BH102" s="4"/>
    </row>
    <row r="103" spans="1:60" x14ac:dyDescent="0.3">
      <c r="A103" t="str">
        <f t="shared" si="8"/>
        <v xml:space="preserve">                &lt;Address&gt;348&lt;/Address&gt;</v>
      </c>
      <c r="B103" t="s">
        <v>40</v>
      </c>
      <c r="C103">
        <f>VLOOKUP(E103,$F$4:$G$37,2)</f>
        <v>348</v>
      </c>
      <c r="D103" t="s">
        <v>39</v>
      </c>
      <c r="E103">
        <v>17</v>
      </c>
      <c r="AQ103"/>
      <c r="AS103"/>
      <c r="AW103" s="4"/>
      <c r="AX103" s="4"/>
      <c r="BG103"/>
      <c r="BH103" s="4"/>
    </row>
    <row r="104" spans="1:60" x14ac:dyDescent="0.3">
      <c r="A104" t="str">
        <f t="shared" si="8"/>
        <v xml:space="preserve">                &lt;PropertyName&gt;Battery225AFoldbackEndingLowVoltage_q7&lt;/PropertyName&gt;</v>
      </c>
      <c r="B104" t="s">
        <v>41</v>
      </c>
      <c r="C104" t="str">
        <f>VLOOKUP(C103,$G$4:$H$37,2,FALSE)</f>
        <v>Battery225AFoldbackEndingLowVoltage_q7</v>
      </c>
      <c r="D104" t="s">
        <v>42</v>
      </c>
      <c r="AQ104"/>
      <c r="AS104"/>
      <c r="AW104" s="4"/>
      <c r="AX104" s="4"/>
      <c r="BG104"/>
      <c r="BH104" s="4"/>
    </row>
    <row r="105" spans="1:60" x14ac:dyDescent="0.3">
      <c r="A105" t="str">
        <f t="shared" si="8"/>
        <v xml:space="preserve">                &lt;ParameterValue&gt;38&lt;/ParameterValue&gt;</v>
      </c>
      <c r="B105" t="s">
        <v>43</v>
      </c>
      <c r="C105">
        <f>VLOOKUP(E103,$F$4:$AAN$37,$H$1+4)</f>
        <v>38</v>
      </c>
      <c r="D105" t="s">
        <v>44</v>
      </c>
      <c r="AQ105"/>
      <c r="AS105"/>
      <c r="AW105" s="4"/>
      <c r="AX105" s="4"/>
      <c r="BG105"/>
      <c r="BH105" s="4"/>
    </row>
    <row r="106" spans="1:60" x14ac:dyDescent="0.3">
      <c r="A106" t="str">
        <f t="shared" si="8"/>
        <v xml:space="preserve">            &lt;/ParameterFileItem&gt;</v>
      </c>
      <c r="B106" t="s">
        <v>33</v>
      </c>
      <c r="AQ106"/>
      <c r="AS106"/>
      <c r="AW106" s="4"/>
      <c r="AX106" s="4"/>
      <c r="BG106"/>
      <c r="BH106" s="4"/>
    </row>
    <row r="107" spans="1:60" x14ac:dyDescent="0.3">
      <c r="A107" t="str">
        <f t="shared" si="8"/>
        <v xml:space="preserve">            &lt;ParameterFileItem&gt;</v>
      </c>
      <c r="B107" t="s">
        <v>31</v>
      </c>
      <c r="AQ107"/>
      <c r="AS107"/>
      <c r="AW107" s="4"/>
      <c r="AX107" s="4"/>
      <c r="BG107"/>
      <c r="BH107" s="4"/>
    </row>
    <row r="108" spans="1:60" x14ac:dyDescent="0.3">
      <c r="A108" t="str">
        <f t="shared" si="8"/>
        <v xml:space="preserve">                &lt;ViewType&gt;ReadOnly&lt;/ViewType&gt;</v>
      </c>
      <c r="B108" t="s">
        <v>32</v>
      </c>
      <c r="AQ108"/>
      <c r="AS108"/>
      <c r="AW108" s="4"/>
      <c r="AX108" s="4"/>
      <c r="BG108"/>
      <c r="BH108" s="4"/>
    </row>
    <row r="109" spans="1:60" x14ac:dyDescent="0.3">
      <c r="A109" t="str">
        <f t="shared" si="8"/>
        <v xml:space="preserve">                &lt;Address&gt;363&lt;/Address&gt;</v>
      </c>
      <c r="B109" t="s">
        <v>40</v>
      </c>
      <c r="C109">
        <f>VLOOKUP(E109,$F$4:$G$37,2)</f>
        <v>363</v>
      </c>
      <c r="D109" t="s">
        <v>39</v>
      </c>
      <c r="E109">
        <v>18</v>
      </c>
      <c r="AQ109"/>
      <c r="AS109"/>
      <c r="AW109" s="4"/>
      <c r="AX109" s="4"/>
      <c r="BG109"/>
      <c r="BH109" s="4"/>
    </row>
    <row r="110" spans="1:60" x14ac:dyDescent="0.3">
      <c r="A110" t="str">
        <f t="shared" si="8"/>
        <v xml:space="preserve">                &lt;PropertyName&gt;BatteryOverVoltageFoldbackStartingVoltage_puq7&lt;/PropertyName&gt;</v>
      </c>
      <c r="B110" t="s">
        <v>41</v>
      </c>
      <c r="C110" t="str">
        <f>VLOOKUP(C109,$G$4:$H$37,2,FALSE)</f>
        <v>BatteryOverVoltageFoldbackStartingVoltage_puq7</v>
      </c>
      <c r="D110" t="s">
        <v>42</v>
      </c>
      <c r="AQ110"/>
      <c r="AS110"/>
      <c r="AW110" s="4"/>
      <c r="AX110" s="4"/>
      <c r="BG110"/>
      <c r="BH110" s="4"/>
    </row>
    <row r="111" spans="1:60" x14ac:dyDescent="0.3">
      <c r="A111" t="str">
        <f t="shared" si="8"/>
        <v xml:space="preserve">                &lt;ParameterValue&gt;1.1875&lt;/ParameterValue&gt;</v>
      </c>
      <c r="B111" t="s">
        <v>43</v>
      </c>
      <c r="C111">
        <f>VLOOKUP(E109,$F$4:$AAN$37,$H$1+4)</f>
        <v>1.1875</v>
      </c>
      <c r="D111" t="s">
        <v>44</v>
      </c>
      <c r="AQ111"/>
      <c r="AS111"/>
      <c r="AW111" s="4"/>
      <c r="AX111" s="4"/>
      <c r="BG111"/>
      <c r="BH111" s="4"/>
    </row>
    <row r="112" spans="1:60" x14ac:dyDescent="0.3">
      <c r="A112" t="str">
        <f t="shared" si="8"/>
        <v xml:space="preserve">            &lt;/ParameterFileItem&gt;</v>
      </c>
      <c r="B112" t="s">
        <v>33</v>
      </c>
      <c r="AQ112"/>
      <c r="AS112"/>
      <c r="AW112" s="4"/>
      <c r="AX112" s="4"/>
      <c r="BG112"/>
      <c r="BH112" s="4"/>
    </row>
    <row r="113" spans="1:60" x14ac:dyDescent="0.3">
      <c r="A113" t="str">
        <f t="shared" si="8"/>
        <v xml:space="preserve">            &lt;ParameterFileItem&gt;</v>
      </c>
      <c r="B113" t="s">
        <v>31</v>
      </c>
      <c r="AQ113"/>
      <c r="AS113"/>
      <c r="AW113" s="4"/>
      <c r="AX113" s="4"/>
      <c r="BG113"/>
      <c r="BH113" s="4"/>
    </row>
    <row r="114" spans="1:60" x14ac:dyDescent="0.3">
      <c r="A114" t="str">
        <f t="shared" si="8"/>
        <v xml:space="preserve">                &lt;ViewType&gt;ReadOnly&lt;/ViewType&gt;</v>
      </c>
      <c r="B114" t="s">
        <v>32</v>
      </c>
      <c r="AQ114"/>
      <c r="AS114"/>
      <c r="AW114" s="4"/>
      <c r="AX114" s="4"/>
      <c r="BG114"/>
      <c r="BH114" s="4"/>
    </row>
    <row r="115" spans="1:60" x14ac:dyDescent="0.3">
      <c r="A115" t="str">
        <f t="shared" si="8"/>
        <v xml:space="preserve">                &lt;Address&gt;364&lt;/Address&gt;</v>
      </c>
      <c r="B115" t="s">
        <v>40</v>
      </c>
      <c r="C115">
        <f>VLOOKUP(E115,$F$4:$G$37,2)</f>
        <v>364</v>
      </c>
      <c r="D115" t="s">
        <v>39</v>
      </c>
      <c r="E115">
        <v>19</v>
      </c>
      <c r="AQ115"/>
      <c r="AS115"/>
      <c r="AW115" s="4"/>
      <c r="AX115" s="4"/>
      <c r="BG115"/>
      <c r="BH115" s="4"/>
    </row>
    <row r="116" spans="1:60" x14ac:dyDescent="0.3">
      <c r="A116" t="str">
        <f t="shared" si="8"/>
        <v xml:space="preserve">                &lt;PropertyName&gt;BatteryOverVoltageFoldbackEndingVoltage_puq7&lt;/PropertyName&gt;</v>
      </c>
      <c r="B116" t="s">
        <v>41</v>
      </c>
      <c r="C116" t="str">
        <f>VLOOKUP(C115,$G$4:$H$37,2,FALSE)</f>
        <v>BatteryOverVoltageFoldbackEndingVoltage_puq7</v>
      </c>
      <c r="D116" t="s">
        <v>42</v>
      </c>
      <c r="AQ116"/>
      <c r="AS116"/>
      <c r="AW116" s="4"/>
      <c r="AX116" s="4"/>
      <c r="BG116"/>
      <c r="BH116" s="4"/>
    </row>
    <row r="117" spans="1:60" x14ac:dyDescent="0.3">
      <c r="A117" t="str">
        <f t="shared" si="8"/>
        <v xml:space="preserve">                &lt;ParameterValue&gt;1.265625&lt;/ParameterValue&gt;</v>
      </c>
      <c r="B117" t="s">
        <v>43</v>
      </c>
      <c r="C117">
        <f>VLOOKUP(E115,$F$4:$AAN$37,$H$1+4)</f>
        <v>1.265625</v>
      </c>
      <c r="D117" t="s">
        <v>44</v>
      </c>
      <c r="AQ117"/>
      <c r="AS117"/>
      <c r="AW117" s="4"/>
      <c r="AX117" s="4"/>
      <c r="BG117"/>
      <c r="BH117" s="4"/>
    </row>
    <row r="118" spans="1:60" x14ac:dyDescent="0.3">
      <c r="A118" t="str">
        <f t="shared" si="8"/>
        <v xml:space="preserve">            &lt;/ParameterFileItem&gt;</v>
      </c>
      <c r="B118" t="s">
        <v>33</v>
      </c>
      <c r="AQ118"/>
      <c r="AS118"/>
      <c r="AW118" s="4"/>
      <c r="AX118" s="4"/>
      <c r="BG118"/>
      <c r="BH118" s="4"/>
    </row>
    <row r="119" spans="1:60" x14ac:dyDescent="0.3">
      <c r="A119" t="str">
        <f t="shared" si="8"/>
        <v xml:space="preserve">            &lt;ParameterFileItem&gt;</v>
      </c>
      <c r="B119" t="s">
        <v>31</v>
      </c>
      <c r="AQ119"/>
      <c r="AS119"/>
      <c r="AW119" s="4"/>
      <c r="AX119" s="4"/>
      <c r="BG119"/>
      <c r="BH119" s="4"/>
    </row>
    <row r="120" spans="1:60" x14ac:dyDescent="0.3">
      <c r="A120" t="str">
        <f t="shared" si="8"/>
        <v xml:space="preserve">                &lt;ViewType&gt;ReadOnly&lt;/ViewType&gt;</v>
      </c>
      <c r="B120" t="s">
        <v>32</v>
      </c>
      <c r="AQ120"/>
      <c r="AS120"/>
      <c r="AW120" s="4"/>
      <c r="AX120" s="4"/>
      <c r="BG120"/>
      <c r="BH120" s="4"/>
    </row>
    <row r="121" spans="1:60" x14ac:dyDescent="0.3">
      <c r="A121" t="str">
        <f t="shared" si="8"/>
        <v xml:space="preserve">                &lt;Address&gt;368&lt;/Address&gt;</v>
      </c>
      <c r="B121" t="s">
        <v>40</v>
      </c>
      <c r="C121">
        <f>VLOOKUP(E121,$F$4:$G$37,2)</f>
        <v>368</v>
      </c>
      <c r="D121" t="s">
        <v>39</v>
      </c>
      <c r="E121">
        <v>20</v>
      </c>
      <c r="AQ121"/>
      <c r="AS121"/>
      <c r="AW121" s="4"/>
      <c r="AX121" s="4"/>
      <c r="BG121"/>
      <c r="BH121" s="4"/>
    </row>
    <row r="122" spans="1:60" x14ac:dyDescent="0.3">
      <c r="A122" t="str">
        <f t="shared" si="8"/>
        <v xml:space="preserve">                &lt;PropertyName&gt;BatteryContinuousDischargeCurrent_Adc_q4&lt;/PropertyName&gt;</v>
      </c>
      <c r="B122" t="s">
        <v>41</v>
      </c>
      <c r="C122" t="str">
        <f>VLOOKUP(C121,$G$4:$H$37,2,FALSE)</f>
        <v>BatteryContinuousDischargeCurrent_Adc_q4</v>
      </c>
      <c r="D122" t="s">
        <v>42</v>
      </c>
      <c r="AQ122"/>
      <c r="AS122"/>
      <c r="AW122" s="4"/>
      <c r="AX122" s="4"/>
      <c r="BG122"/>
      <c r="BH122" s="4"/>
    </row>
    <row r="123" spans="1:60" x14ac:dyDescent="0.3">
      <c r="A123" t="str">
        <f t="shared" si="8"/>
        <v xml:space="preserve">                &lt;ParameterValue&gt;200&lt;/ParameterValue&gt;</v>
      </c>
      <c r="B123" t="s">
        <v>43</v>
      </c>
      <c r="C123">
        <f>VLOOKUP(E121,$F$4:$AAN$37,$H$1+4)</f>
        <v>200</v>
      </c>
      <c r="D123" t="s">
        <v>44</v>
      </c>
      <c r="AQ123"/>
      <c r="AS123"/>
      <c r="AW123" s="4"/>
      <c r="AX123" s="4"/>
      <c r="BG123"/>
      <c r="BH123" s="4"/>
    </row>
    <row r="124" spans="1:60" x14ac:dyDescent="0.3">
      <c r="A124" t="str">
        <f t="shared" si="8"/>
        <v xml:space="preserve">            &lt;/ParameterFileItem&gt;</v>
      </c>
      <c r="B124" t="s">
        <v>33</v>
      </c>
      <c r="AQ124"/>
      <c r="AS124"/>
      <c r="AW124" s="4"/>
      <c r="AX124" s="4"/>
      <c r="BG124"/>
      <c r="BH124" s="4"/>
    </row>
    <row r="125" spans="1:60" x14ac:dyDescent="0.3">
      <c r="A125" t="str">
        <f t="shared" ref="A125:A136" si="9">CONCATENATE(B125,C125,D125)</f>
        <v xml:space="preserve">            &lt;ParameterFileItem&gt;</v>
      </c>
      <c r="B125" t="s">
        <v>31</v>
      </c>
      <c r="AQ125"/>
      <c r="AS125"/>
      <c r="AW125" s="4"/>
      <c r="AX125" s="4"/>
      <c r="BG125"/>
      <c r="BH125" s="4"/>
    </row>
    <row r="126" spans="1:60" x14ac:dyDescent="0.3">
      <c r="A126" t="str">
        <f t="shared" si="9"/>
        <v xml:space="preserve">                &lt;ViewType&gt;ReadOnly&lt;/ViewType&gt;</v>
      </c>
      <c r="B126" t="s">
        <v>32</v>
      </c>
      <c r="AQ126"/>
      <c r="AS126"/>
      <c r="AW126" s="4"/>
      <c r="AX126" s="4"/>
      <c r="BG126"/>
      <c r="BH126" s="4"/>
    </row>
    <row r="127" spans="1:60" x14ac:dyDescent="0.3">
      <c r="A127" t="str">
        <f t="shared" si="9"/>
        <v xml:space="preserve">                &lt;Address&gt;369&lt;/Address&gt;</v>
      </c>
      <c r="B127" t="s">
        <v>40</v>
      </c>
      <c r="C127">
        <f>VLOOKUP(E127,$F$4:$G$37,2)</f>
        <v>369</v>
      </c>
      <c r="D127" t="s">
        <v>39</v>
      </c>
      <c r="E127">
        <v>21</v>
      </c>
      <c r="AQ127"/>
      <c r="AS127"/>
      <c r="AW127" s="4"/>
      <c r="AX127" s="4"/>
      <c r="BG127"/>
      <c r="BH127" s="4"/>
    </row>
    <row r="128" spans="1:60" x14ac:dyDescent="0.3">
      <c r="A128" t="str">
        <f t="shared" si="9"/>
        <v xml:space="preserve">                &lt;PropertyName&gt;BatteryDischargePulseCapacity&lt;/PropertyName&gt;</v>
      </c>
      <c r="B128" t="s">
        <v>41</v>
      </c>
      <c r="C128" t="str">
        <f>VLOOKUP(C127,$G$4:$H$37,2,FALSE)</f>
        <v>BatteryDischargePulseCapacity</v>
      </c>
      <c r="D128" t="s">
        <v>42</v>
      </c>
      <c r="AQ128"/>
      <c r="AS128"/>
      <c r="AW128" s="4"/>
      <c r="AX128" s="4"/>
      <c r="BG128"/>
      <c r="BH128" s="4"/>
    </row>
    <row r="129" spans="1:60" x14ac:dyDescent="0.3">
      <c r="A129" t="str">
        <f t="shared" si="9"/>
        <v xml:space="preserve">                &lt;ParameterValue&gt;6000&lt;/ParameterValue&gt;</v>
      </c>
      <c r="B129" t="s">
        <v>43</v>
      </c>
      <c r="C129">
        <f>VLOOKUP(E127,$F$4:$AAN$37,$H$1+4)</f>
        <v>6000</v>
      </c>
      <c r="D129" t="s">
        <v>44</v>
      </c>
      <c r="AQ129"/>
      <c r="AS129"/>
      <c r="AW129" s="4"/>
      <c r="AX129" s="4"/>
      <c r="BG129"/>
      <c r="BH129" s="4"/>
    </row>
    <row r="130" spans="1:60" x14ac:dyDescent="0.3">
      <c r="A130" t="str">
        <f t="shared" si="9"/>
        <v xml:space="preserve">            &lt;/ParameterFileItem&gt;</v>
      </c>
      <c r="B130" t="s">
        <v>33</v>
      </c>
      <c r="AQ130"/>
      <c r="AS130"/>
      <c r="AW130" s="4"/>
      <c r="AX130" s="4"/>
      <c r="BG130"/>
      <c r="BH130" s="4"/>
    </row>
    <row r="131" spans="1:60" x14ac:dyDescent="0.3">
      <c r="A131" t="str">
        <f t="shared" si="9"/>
        <v xml:space="preserve">            &lt;ParameterFileItem&gt;</v>
      </c>
      <c r="B131" t="s">
        <v>31</v>
      </c>
      <c r="AQ131"/>
      <c r="AS131"/>
      <c r="AW131" s="4"/>
      <c r="AX131" s="4"/>
      <c r="BG131"/>
      <c r="BH131" s="4"/>
    </row>
    <row r="132" spans="1:60" x14ac:dyDescent="0.3">
      <c r="A132" t="str">
        <f t="shared" si="9"/>
        <v xml:space="preserve">                &lt;ViewType&gt;ReadOnly&lt;/ViewType&gt;</v>
      </c>
      <c r="B132" t="s">
        <v>32</v>
      </c>
      <c r="AQ132"/>
      <c r="AS132"/>
      <c r="AW132" s="4"/>
      <c r="AX132" s="4"/>
      <c r="BG132"/>
      <c r="BH132" s="4"/>
    </row>
    <row r="133" spans="1:60" x14ac:dyDescent="0.3">
      <c r="A133" t="str">
        <f t="shared" si="9"/>
        <v xml:space="preserve">                &lt;Address&gt;371&lt;/Address&gt;</v>
      </c>
      <c r="B133" t="s">
        <v>40</v>
      </c>
      <c r="C133">
        <f>VLOOKUP(E133,$F$4:$G$37,2)</f>
        <v>371</v>
      </c>
      <c r="D133" t="s">
        <v>39</v>
      </c>
      <c r="E133">
        <v>22</v>
      </c>
      <c r="AQ133"/>
      <c r="AS133"/>
      <c r="AW133" s="4"/>
      <c r="AX133" s="4"/>
      <c r="BG133"/>
      <c r="BH133" s="4"/>
    </row>
    <row r="134" spans="1:60" x14ac:dyDescent="0.3">
      <c r="A134" t="str">
        <f t="shared" si="9"/>
        <v xml:space="preserve">                &lt;PropertyName&gt;ChargeIdc_Adc_q4_limit&lt;/PropertyName&gt;</v>
      </c>
      <c r="B134" t="s">
        <v>41</v>
      </c>
      <c r="C134" t="str">
        <f>VLOOKUP(C133,$G$4:$H$37,2,FALSE)</f>
        <v>ChargeIdc_Adc_q4_limit</v>
      </c>
      <c r="D134" t="s">
        <v>42</v>
      </c>
      <c r="AQ134"/>
      <c r="AS134"/>
      <c r="AW134" s="4"/>
      <c r="AX134" s="4"/>
      <c r="BG134"/>
      <c r="BH134" s="4"/>
    </row>
    <row r="135" spans="1:60" x14ac:dyDescent="0.3">
      <c r="A135" t="str">
        <f t="shared" si="9"/>
        <v xml:space="preserve">                &lt;ParameterValue&gt;200&lt;/ParameterValue&gt;</v>
      </c>
      <c r="B135" t="s">
        <v>43</v>
      </c>
      <c r="C135">
        <f>VLOOKUP(E133,$F$4:$AAN$37,$H$1+4)</f>
        <v>200</v>
      </c>
      <c r="D135" t="s">
        <v>44</v>
      </c>
      <c r="AQ135"/>
      <c r="AS135"/>
      <c r="AW135" s="4"/>
      <c r="AX135" s="4"/>
      <c r="BG135"/>
      <c r="BH135" s="4"/>
    </row>
    <row r="136" spans="1:60" x14ac:dyDescent="0.3">
      <c r="A136" t="str">
        <f t="shared" si="9"/>
        <v xml:space="preserve">            &lt;/ParameterFileItem&gt;</v>
      </c>
      <c r="B136" t="s">
        <v>33</v>
      </c>
      <c r="AQ136"/>
      <c r="AS136"/>
      <c r="AW136" s="4"/>
      <c r="AX136" s="4"/>
      <c r="BG136"/>
      <c r="BH136" s="4"/>
    </row>
    <row r="137" spans="1:60" x14ac:dyDescent="0.3">
      <c r="A137" t="str">
        <f t="shared" si="8"/>
        <v xml:space="preserve">            &lt;ParameterFileItem&gt;</v>
      </c>
      <c r="B137" t="s">
        <v>31</v>
      </c>
      <c r="AQ137"/>
      <c r="AS137"/>
      <c r="AW137" s="4"/>
      <c r="AX137" s="4"/>
      <c r="BG137"/>
      <c r="BH137" s="4"/>
    </row>
    <row r="138" spans="1:60" x14ac:dyDescent="0.3">
      <c r="A138" t="str">
        <f t="shared" si="8"/>
        <v xml:space="preserve">                &lt;ViewType&gt;ReadOnly&lt;/ViewType&gt;</v>
      </c>
      <c r="B138" t="s">
        <v>32</v>
      </c>
      <c r="AQ138"/>
      <c r="AS138"/>
      <c r="AW138" s="4"/>
      <c r="AX138" s="4"/>
      <c r="BG138"/>
      <c r="BH138" s="4"/>
    </row>
    <row r="139" spans="1:60" x14ac:dyDescent="0.3">
      <c r="A139" t="str">
        <f t="shared" si="8"/>
        <v xml:space="preserve">                &lt;Address&gt;372&lt;/Address&gt;</v>
      </c>
      <c r="B139" t="s">
        <v>40</v>
      </c>
      <c r="C139">
        <f>VLOOKUP(E139,$F$4:$G$37,2)</f>
        <v>372</v>
      </c>
      <c r="D139" t="s">
        <v>39</v>
      </c>
      <c r="E139">
        <v>23</v>
      </c>
      <c r="AQ139"/>
      <c r="AS139"/>
      <c r="AW139" s="4"/>
      <c r="AX139" s="4"/>
      <c r="BG139"/>
      <c r="BH139" s="4"/>
    </row>
    <row r="140" spans="1:60" x14ac:dyDescent="0.3">
      <c r="A140" t="str">
        <f t="shared" si="8"/>
        <v xml:space="preserve">                &lt;PropertyName&gt;BatteryContinuousChargeCurrent_Adc_q4&lt;/PropertyName&gt;</v>
      </c>
      <c r="B140" t="s">
        <v>41</v>
      </c>
      <c r="C140" t="str">
        <f>VLOOKUP(C139,$G$4:$H$37,2,FALSE)</f>
        <v>BatteryContinuousChargeCurrent_Adc_q4</v>
      </c>
      <c r="D140" t="s">
        <v>42</v>
      </c>
      <c r="AQ140"/>
      <c r="AS140"/>
      <c r="AW140" s="4"/>
      <c r="AX140" s="4"/>
      <c r="BG140"/>
      <c r="BH140" s="4"/>
    </row>
    <row r="141" spans="1:60" x14ac:dyDescent="0.3">
      <c r="A141" t="str">
        <f t="shared" si="8"/>
        <v xml:space="preserve">                &lt;ParameterValue&gt;200&lt;/ParameterValue&gt;</v>
      </c>
      <c r="B141" t="s">
        <v>43</v>
      </c>
      <c r="C141">
        <f>VLOOKUP(E139,$F$4:$AAN$37,$H$1+4)</f>
        <v>200</v>
      </c>
      <c r="D141" t="s">
        <v>44</v>
      </c>
      <c r="AQ141"/>
      <c r="AS141"/>
      <c r="AW141" s="4"/>
      <c r="AX141" s="4"/>
      <c r="BG141"/>
      <c r="BH141" s="4"/>
    </row>
    <row r="142" spans="1:60" x14ac:dyDescent="0.3">
      <c r="A142" t="str">
        <f t="shared" ref="A142:A156" si="10">CONCATENATE(B142,C142,D142)</f>
        <v xml:space="preserve">            &lt;/ParameterFileItem&gt;</v>
      </c>
      <c r="B142" t="s">
        <v>33</v>
      </c>
      <c r="AQ142"/>
      <c r="AS142"/>
      <c r="AW142" s="4"/>
      <c r="AX142" s="4"/>
      <c r="BG142"/>
      <c r="BH142" s="4"/>
    </row>
    <row r="143" spans="1:60" x14ac:dyDescent="0.3">
      <c r="A143" t="str">
        <f t="shared" si="10"/>
        <v xml:space="preserve">            &lt;ParameterFileItem&gt;</v>
      </c>
      <c r="B143" t="s">
        <v>31</v>
      </c>
      <c r="AQ143"/>
      <c r="AS143"/>
      <c r="AW143" s="4"/>
      <c r="AX143" s="4"/>
      <c r="BG143"/>
      <c r="BH143" s="4"/>
    </row>
    <row r="144" spans="1:60" x14ac:dyDescent="0.3">
      <c r="A144" t="str">
        <f t="shared" si="10"/>
        <v xml:space="preserve">                &lt;ViewType&gt;ReadOnly&lt;/ViewType&gt;</v>
      </c>
      <c r="B144" t="s">
        <v>32</v>
      </c>
      <c r="AQ144"/>
      <c r="AS144"/>
      <c r="AW144" s="4"/>
      <c r="AX144" s="4"/>
      <c r="BG144"/>
      <c r="BH144" s="4"/>
    </row>
    <row r="145" spans="1:60" x14ac:dyDescent="0.3">
      <c r="A145" t="str">
        <f t="shared" si="10"/>
        <v xml:space="preserve">                &lt;Address&gt;373&lt;/Address&gt;</v>
      </c>
      <c r="B145" t="s">
        <v>40</v>
      </c>
      <c r="C145">
        <f>VLOOKUP(E145,$F$4:$G$37,2)</f>
        <v>373</v>
      </c>
      <c r="D145" t="s">
        <v>39</v>
      </c>
      <c r="E145">
        <v>24</v>
      </c>
      <c r="AQ145"/>
      <c r="AS145"/>
      <c r="AW145" s="4"/>
      <c r="AX145" s="4"/>
      <c r="BG145"/>
      <c r="BH145" s="4"/>
    </row>
    <row r="146" spans="1:60" x14ac:dyDescent="0.3">
      <c r="A146" t="str">
        <f t="shared" si="10"/>
        <v xml:space="preserve">                &lt;PropertyName&gt;BatteryChargePulseCapacity&lt;/PropertyName&gt;</v>
      </c>
      <c r="B146" t="s">
        <v>41</v>
      </c>
      <c r="C146" t="str">
        <f>VLOOKUP(C145,$G$4:$H$37,2,FALSE)</f>
        <v>BatteryChargePulseCapacity</v>
      </c>
      <c r="D146" t="s">
        <v>42</v>
      </c>
      <c r="AQ146"/>
      <c r="AS146"/>
      <c r="AW146" s="4"/>
      <c r="AX146" s="4"/>
      <c r="BG146"/>
      <c r="BH146" s="4"/>
    </row>
    <row r="147" spans="1:60" x14ac:dyDescent="0.3">
      <c r="A147" t="str">
        <f t="shared" si="10"/>
        <v xml:space="preserve">                &lt;ParameterValue&gt;6000&lt;/ParameterValue&gt;</v>
      </c>
      <c r="B147" t="s">
        <v>43</v>
      </c>
      <c r="C147">
        <f>VLOOKUP(E145,$F$4:$AAN$37,$H$1+4)</f>
        <v>6000</v>
      </c>
      <c r="D147" t="s">
        <v>44</v>
      </c>
      <c r="AQ147"/>
      <c r="AS147"/>
      <c r="AW147" s="4"/>
      <c r="AX147" s="4"/>
      <c r="BG147"/>
      <c r="BH147" s="4"/>
    </row>
    <row r="148" spans="1:60" x14ac:dyDescent="0.3">
      <c r="A148" t="str">
        <f t="shared" si="10"/>
        <v xml:space="preserve">            &lt;/ParameterFileItem&gt;</v>
      </c>
      <c r="B148" t="s">
        <v>33</v>
      </c>
      <c r="AQ148"/>
      <c r="AS148"/>
      <c r="AW148" s="4"/>
      <c r="AX148" s="4"/>
      <c r="BG148"/>
      <c r="BH148" s="4"/>
    </row>
    <row r="149" spans="1:60" x14ac:dyDescent="0.3">
      <c r="A149" t="str">
        <f t="shared" si="10"/>
        <v xml:space="preserve">            &lt;ParameterFileItem&gt;</v>
      </c>
      <c r="B149" t="s">
        <v>31</v>
      </c>
      <c r="AQ149"/>
      <c r="AS149"/>
      <c r="AW149" s="4"/>
      <c r="AX149" s="4"/>
      <c r="BG149"/>
      <c r="BH149" s="4"/>
    </row>
    <row r="150" spans="1:60" x14ac:dyDescent="0.3">
      <c r="A150" t="str">
        <f t="shared" si="10"/>
        <v xml:space="preserve">                &lt;ViewType&gt;ReadOnly&lt;/ViewType&gt;</v>
      </c>
      <c r="B150" t="s">
        <v>32</v>
      </c>
      <c r="AQ150"/>
      <c r="AS150"/>
      <c r="AW150" s="4"/>
      <c r="AX150" s="4"/>
      <c r="BG150"/>
      <c r="BH150" s="4"/>
    </row>
    <row r="151" spans="1:60" x14ac:dyDescent="0.3">
      <c r="A151" t="str">
        <f t="shared" si="10"/>
        <v xml:space="preserve">                &lt;Address&gt;415&lt;/Address&gt;</v>
      </c>
      <c r="B151" t="s">
        <v>40</v>
      </c>
      <c r="C151">
        <f>VLOOKUP(E151,$F$4:$G$37,2)</f>
        <v>415</v>
      </c>
      <c r="D151" t="s">
        <v>39</v>
      </c>
      <c r="E151">
        <v>25</v>
      </c>
      <c r="AQ151"/>
      <c r="AS151"/>
      <c r="AW151" s="4"/>
      <c r="AX151" s="4"/>
      <c r="BG151"/>
      <c r="BH151" s="4"/>
    </row>
    <row r="152" spans="1:60" x14ac:dyDescent="0.3">
      <c r="A152" t="str">
        <f t="shared" si="10"/>
        <v xml:space="preserve">                &lt;PropertyName&gt;CanDataObjectConfig_12_spare2&lt;/PropertyName&gt;</v>
      </c>
      <c r="B152" t="s">
        <v>41</v>
      </c>
      <c r="C152" t="str">
        <f>VLOOKUP(C151,$G$4:$H$37,2,FALSE)</f>
        <v>CanDataObjectConfig_12_spare2</v>
      </c>
      <c r="D152" t="s">
        <v>42</v>
      </c>
      <c r="AQ152"/>
      <c r="AS152"/>
      <c r="AW152" s="4"/>
      <c r="AX152" s="4"/>
      <c r="BG152"/>
      <c r="BH152" s="4"/>
    </row>
    <row r="153" spans="1:60" x14ac:dyDescent="0.3">
      <c r="A153" t="str">
        <f t="shared" si="10"/>
        <v xml:space="preserve">                &lt;ParameterValue&gt;0&lt;/ParameterValue&gt;</v>
      </c>
      <c r="B153" t="s">
        <v>43</v>
      </c>
      <c r="C153">
        <f>VLOOKUP(E151,$F$4:$AAN$37,$H$1+4)</f>
        <v>0</v>
      </c>
      <c r="D153" t="s">
        <v>44</v>
      </c>
      <c r="AQ153"/>
      <c r="AS153"/>
      <c r="AW153" s="4"/>
      <c r="AX153" s="4"/>
      <c r="BG153"/>
      <c r="BH153" s="4"/>
    </row>
    <row r="154" spans="1:60" x14ac:dyDescent="0.3">
      <c r="A154" t="str">
        <f t="shared" si="10"/>
        <v xml:space="preserve">            &lt;/ParameterFileItem&gt;</v>
      </c>
      <c r="B154" t="s">
        <v>33</v>
      </c>
      <c r="AQ154"/>
      <c r="AS154"/>
      <c r="AW154" s="4"/>
      <c r="AX154" s="4"/>
      <c r="BG154"/>
      <c r="BH154" s="4"/>
    </row>
    <row r="155" spans="1:60" x14ac:dyDescent="0.3">
      <c r="A155" t="str">
        <f t="shared" si="10"/>
        <v xml:space="preserve">            &lt;ParameterFileItem&gt;</v>
      </c>
      <c r="B155" t="s">
        <v>31</v>
      </c>
      <c r="AQ155"/>
      <c r="AS155"/>
      <c r="AW155" s="4"/>
      <c r="AX155" s="4"/>
      <c r="BG155"/>
      <c r="BH155" s="4"/>
    </row>
    <row r="156" spans="1:60" x14ac:dyDescent="0.3">
      <c r="A156" t="str">
        <f t="shared" si="10"/>
        <v xml:space="preserve">                &lt;ViewType&gt;ReadOnly&lt;/ViewType&gt;</v>
      </c>
      <c r="B156" t="s">
        <v>32</v>
      </c>
      <c r="AQ156"/>
      <c r="AS156"/>
      <c r="AW156" s="4"/>
      <c r="AX156" s="4"/>
      <c r="BG156"/>
      <c r="BH156" s="4"/>
    </row>
    <row r="157" spans="1:60" x14ac:dyDescent="0.3">
      <c r="A157" t="str">
        <f t="shared" ref="A157:A188" si="11">CONCATENATE(B157,C157,D268)</f>
        <v xml:space="preserve">                &lt;Address&gt;533&lt;/Address&gt;</v>
      </c>
      <c r="B157" t="s">
        <v>40</v>
      </c>
      <c r="C157">
        <f>VLOOKUP(E268,$F$4:$G$37,2)</f>
        <v>533</v>
      </c>
      <c r="AQ157"/>
      <c r="AS157"/>
      <c r="AW157" s="4"/>
      <c r="AX157" s="4"/>
      <c r="BG157"/>
      <c r="BH157" s="4"/>
    </row>
    <row r="158" spans="1:60" x14ac:dyDescent="0.3">
      <c r="A158" t="str">
        <f t="shared" si="11"/>
        <v xml:space="preserve">                &lt;PropertyName&gt;CanDataObjectConfig2_2_ID_low&lt;/PropertyName&gt;</v>
      </c>
      <c r="B158" t="s">
        <v>41</v>
      </c>
      <c r="C158" t="str">
        <f>VLOOKUP(C157,$G$4:$H$37,2,FALSE)</f>
        <v>CanDataObjectConfig2_2_ID_low</v>
      </c>
      <c r="AQ158"/>
      <c r="AS158"/>
      <c r="AW158" s="4"/>
      <c r="AX158" s="4"/>
      <c r="BG158"/>
      <c r="BH158" s="4"/>
    </row>
    <row r="159" spans="1:60" x14ac:dyDescent="0.3">
      <c r="A159" t="str">
        <f t="shared" si="11"/>
        <v xml:space="preserve">                &lt;ParameterValue&gt;1360&lt;/ParameterValue&gt;</v>
      </c>
      <c r="B159" t="s">
        <v>43</v>
      </c>
      <c r="C159">
        <f>VLOOKUP(E268,$F$4:$AAN$37,$H$1+4)</f>
        <v>1360</v>
      </c>
      <c r="AQ159"/>
      <c r="AS159"/>
      <c r="AW159" s="4"/>
      <c r="AX159" s="4"/>
      <c r="BG159"/>
      <c r="BH159" s="4"/>
    </row>
    <row r="160" spans="1:60" x14ac:dyDescent="0.3">
      <c r="A160" t="str">
        <f t="shared" si="11"/>
        <v xml:space="preserve">            &lt;/ParameterFileItem&gt;</v>
      </c>
      <c r="B160" t="s">
        <v>33</v>
      </c>
      <c r="AQ160"/>
      <c r="AS160"/>
      <c r="AW160" s="4"/>
      <c r="AX160" s="4"/>
      <c r="BG160"/>
      <c r="BH160" s="4"/>
    </row>
    <row r="161" spans="1:60" x14ac:dyDescent="0.3">
      <c r="A161" t="str">
        <f t="shared" si="11"/>
        <v xml:space="preserve">            &lt;ParameterFileItem&gt;</v>
      </c>
      <c r="B161" t="s">
        <v>31</v>
      </c>
      <c r="AQ161"/>
      <c r="AS161"/>
      <c r="AW161" s="4"/>
      <c r="AX161" s="4"/>
      <c r="BG161"/>
      <c r="BH161" s="4"/>
    </row>
    <row r="162" spans="1:60" x14ac:dyDescent="0.3">
      <c r="A162" t="str">
        <f t="shared" si="11"/>
        <v xml:space="preserve">                &lt;ViewType&gt;ReadOnly&lt;/ViewType&gt;</v>
      </c>
      <c r="B162" t="s">
        <v>32</v>
      </c>
      <c r="AQ162"/>
      <c r="AS162"/>
      <c r="AW162" s="4"/>
      <c r="AX162" s="4"/>
      <c r="BG162"/>
      <c r="BH162" s="4"/>
    </row>
    <row r="163" spans="1:60" x14ac:dyDescent="0.3">
      <c r="A163" t="str">
        <f t="shared" si="11"/>
        <v xml:space="preserve">                &lt;Address&gt;534&lt;/Address&gt;</v>
      </c>
      <c r="B163" t="s">
        <v>40</v>
      </c>
      <c r="C163">
        <f>VLOOKUP(E274,$F$4:$G$37,2)</f>
        <v>534</v>
      </c>
      <c r="AQ163"/>
      <c r="AS163"/>
      <c r="AW163" s="4"/>
      <c r="AX163" s="4"/>
      <c r="BG163"/>
      <c r="BH163" s="4"/>
    </row>
    <row r="164" spans="1:60" x14ac:dyDescent="0.3">
      <c r="A164" t="str">
        <f t="shared" si="11"/>
        <v xml:space="preserve">                &lt;PropertyName&gt;CanDataObjectConfig2_2_ID_high&lt;/PropertyName&gt;</v>
      </c>
      <c r="B164" t="s">
        <v>41</v>
      </c>
      <c r="C164" t="str">
        <f>VLOOKUP(C163,$G$4:$H$37,2,FALSE)</f>
        <v>CanDataObjectConfig2_2_ID_high</v>
      </c>
      <c r="AQ164"/>
      <c r="AS164"/>
      <c r="AW164" s="4"/>
      <c r="AX164" s="4"/>
      <c r="BG164"/>
      <c r="BH164" s="4"/>
    </row>
    <row r="165" spans="1:60" x14ac:dyDescent="0.3">
      <c r="A165" t="str">
        <f t="shared" si="11"/>
        <v xml:space="preserve">                &lt;ParameterValue&gt;0&lt;/ParameterValue&gt;</v>
      </c>
      <c r="B165" t="s">
        <v>43</v>
      </c>
      <c r="C165">
        <f>VLOOKUP(E274,$F$4:$AAN$37,$H$1+4)</f>
        <v>0</v>
      </c>
      <c r="AQ165"/>
      <c r="AS165"/>
      <c r="AW165" s="4"/>
      <c r="AX165" s="4"/>
      <c r="BG165"/>
      <c r="BH165" s="4"/>
    </row>
    <row r="166" spans="1:60" x14ac:dyDescent="0.3">
      <c r="A166" t="str">
        <f t="shared" si="11"/>
        <v xml:space="preserve">            &lt;/ParameterFileItem&gt;</v>
      </c>
      <c r="B166" t="s">
        <v>33</v>
      </c>
      <c r="AQ166"/>
      <c r="AS166"/>
      <c r="AW166" s="4"/>
      <c r="AX166" s="4"/>
      <c r="BG166"/>
      <c r="BH166" s="4"/>
    </row>
    <row r="167" spans="1:60" x14ac:dyDescent="0.3">
      <c r="A167" t="str">
        <f t="shared" si="11"/>
        <v xml:space="preserve">            &lt;ParameterFileItem&gt;</v>
      </c>
      <c r="B167" t="s">
        <v>31</v>
      </c>
      <c r="AQ167"/>
      <c r="AS167"/>
      <c r="AW167" s="4"/>
      <c r="AX167" s="4"/>
      <c r="BG167"/>
      <c r="BH167" s="4"/>
    </row>
    <row r="168" spans="1:60" x14ac:dyDescent="0.3">
      <c r="A168" t="str">
        <f t="shared" si="11"/>
        <v xml:space="preserve">                &lt;ViewType&gt;ReadOnly&lt;/ViewType&gt;</v>
      </c>
      <c r="B168" t="s">
        <v>32</v>
      </c>
      <c r="AQ168"/>
      <c r="AS168"/>
      <c r="AW168" s="4"/>
      <c r="AX168" s="4"/>
      <c r="BG168"/>
      <c r="BH168" s="4"/>
    </row>
    <row r="169" spans="1:60" x14ac:dyDescent="0.3">
      <c r="A169" t="str">
        <f t="shared" si="11"/>
        <v xml:space="preserve">                &lt;Address&gt;535&lt;/Address&gt;</v>
      </c>
      <c r="B169" t="s">
        <v>40</v>
      </c>
      <c r="C169">
        <f>VLOOKUP(E280,$F$4:$G$37,2)</f>
        <v>535</v>
      </c>
      <c r="AQ169"/>
      <c r="AS169"/>
      <c r="AW169" s="4"/>
      <c r="AX169" s="4"/>
      <c r="BG169"/>
      <c r="BH169" s="4"/>
    </row>
    <row r="170" spans="1:60" x14ac:dyDescent="0.3">
      <c r="A170" t="str">
        <f t="shared" si="11"/>
        <v xml:space="preserve">                &lt;PropertyName&gt;CanDataObjectConfig2_2_pdo_map_low&lt;/PropertyName&gt;</v>
      </c>
      <c r="B170" t="s">
        <v>41</v>
      </c>
      <c r="C170" t="str">
        <f>VLOOKUP(C169,$G$4:$H$37,2,FALSE)</f>
        <v>CanDataObjectConfig2_2_pdo_map_low</v>
      </c>
      <c r="AQ170"/>
      <c r="AS170"/>
      <c r="AW170" s="4"/>
      <c r="AX170" s="4"/>
      <c r="BG170"/>
      <c r="BH170" s="4"/>
    </row>
    <row r="171" spans="1:60" x14ac:dyDescent="0.3">
      <c r="A171" t="str">
        <f t="shared" si="11"/>
        <v xml:space="preserve">                &lt;ParameterValue&gt;16731&lt;/ParameterValue&gt;</v>
      </c>
      <c r="B171" t="s">
        <v>43</v>
      </c>
      <c r="C171">
        <f>VLOOKUP(E280,$F$4:$AAN$37,$H$1+4)</f>
        <v>16731</v>
      </c>
      <c r="AQ171"/>
      <c r="AS171"/>
      <c r="AW171" s="4"/>
      <c r="AX171" s="4"/>
      <c r="BG171"/>
      <c r="BH171" s="4"/>
    </row>
    <row r="172" spans="1:60" x14ac:dyDescent="0.3">
      <c r="A172" t="str">
        <f t="shared" si="11"/>
        <v xml:space="preserve">            &lt;/ParameterFileItem&gt;</v>
      </c>
      <c r="B172" t="s">
        <v>33</v>
      </c>
      <c r="AQ172"/>
      <c r="AS172"/>
      <c r="AW172" s="4"/>
      <c r="AX172" s="4"/>
      <c r="BG172"/>
      <c r="BH172" s="4"/>
    </row>
    <row r="173" spans="1:60" x14ac:dyDescent="0.3">
      <c r="A173" t="str">
        <f t="shared" si="11"/>
        <v xml:space="preserve">            &lt;ParameterFileItem&gt;</v>
      </c>
      <c r="B173" t="s">
        <v>31</v>
      </c>
      <c r="AQ173"/>
      <c r="AS173"/>
      <c r="AW173" s="4"/>
      <c r="AX173" s="4"/>
      <c r="BG173"/>
      <c r="BH173" s="4"/>
    </row>
    <row r="174" spans="1:60" x14ac:dyDescent="0.3">
      <c r="A174" t="str">
        <f t="shared" si="11"/>
        <v xml:space="preserve">                &lt;ViewType&gt;ReadOnly&lt;/ViewType&gt;</v>
      </c>
      <c r="B174" t="s">
        <v>32</v>
      </c>
      <c r="AQ174"/>
      <c r="AS174"/>
      <c r="AW174" s="4"/>
      <c r="AX174" s="4"/>
      <c r="BG174"/>
      <c r="BH174" s="4"/>
    </row>
    <row r="175" spans="1:60" x14ac:dyDescent="0.3">
      <c r="A175" t="str">
        <f t="shared" si="11"/>
        <v xml:space="preserve">                &lt;Address&gt;536&lt;/Address&gt;</v>
      </c>
      <c r="B175" t="s">
        <v>40</v>
      </c>
      <c r="C175">
        <f>VLOOKUP(E286,$F$4:$G$37,2)</f>
        <v>536</v>
      </c>
      <c r="AQ175"/>
      <c r="AS175"/>
      <c r="AW175" s="4"/>
      <c r="AX175" s="4"/>
      <c r="BG175"/>
      <c r="BH175" s="4"/>
    </row>
    <row r="176" spans="1:60" x14ac:dyDescent="0.3">
      <c r="A176" t="str">
        <f t="shared" si="11"/>
        <v xml:space="preserve">                &lt;PropertyName&gt;CanDataObjectConfig2_2_pdo_map_high&lt;/PropertyName&gt;</v>
      </c>
      <c r="B176" t="s">
        <v>41</v>
      </c>
      <c r="C176" t="str">
        <f>VLOOKUP(C175,$G$4:$H$37,2,FALSE)</f>
        <v>CanDataObjectConfig2_2_pdo_map_high</v>
      </c>
      <c r="AQ176"/>
      <c r="AS176"/>
      <c r="AW176" s="4"/>
      <c r="AX176" s="4"/>
      <c r="BG176"/>
      <c r="BH176" s="4"/>
    </row>
    <row r="177" spans="1:60" x14ac:dyDescent="0.3">
      <c r="A177" t="str">
        <f t="shared" si="11"/>
        <v xml:space="preserve">                &lt;ParameterValue&gt;66&lt;/ParameterValue&gt;</v>
      </c>
      <c r="B177" t="s">
        <v>43</v>
      </c>
      <c r="C177">
        <f>VLOOKUP(E286,$F$4:$AAN$37,$H$1+4)</f>
        <v>66</v>
      </c>
      <c r="AQ177"/>
      <c r="AS177"/>
      <c r="AW177" s="4"/>
      <c r="AX177" s="4"/>
      <c r="BG177"/>
      <c r="BH177" s="4"/>
    </row>
    <row r="178" spans="1:60" x14ac:dyDescent="0.3">
      <c r="A178" t="str">
        <f t="shared" si="11"/>
        <v xml:space="preserve">            &lt;/ParameterFileItem&gt;</v>
      </c>
      <c r="B178" t="s">
        <v>33</v>
      </c>
      <c r="AQ178"/>
      <c r="AS178"/>
      <c r="AW178" s="4"/>
      <c r="AX178" s="4"/>
      <c r="BG178"/>
      <c r="BH178" s="4"/>
    </row>
    <row r="179" spans="1:60" x14ac:dyDescent="0.3">
      <c r="A179" t="str">
        <f t="shared" si="11"/>
        <v xml:space="preserve">            &lt;ParameterFileItem&gt;</v>
      </c>
      <c r="B179" t="s">
        <v>31</v>
      </c>
      <c r="AQ179"/>
      <c r="AS179"/>
      <c r="AW179" s="4"/>
      <c r="AX179" s="4"/>
      <c r="BG179"/>
      <c r="BH179" s="4"/>
    </row>
    <row r="180" spans="1:60" x14ac:dyDescent="0.3">
      <c r="A180" t="str">
        <f t="shared" si="11"/>
        <v xml:space="preserve">                &lt;ViewType&gt;ReadOnly&lt;/ViewType&gt;</v>
      </c>
      <c r="B180" t="s">
        <v>32</v>
      </c>
      <c r="AQ180"/>
      <c r="AS180"/>
      <c r="AW180" s="4"/>
      <c r="AX180" s="4"/>
      <c r="BG180"/>
      <c r="BH180" s="4"/>
    </row>
    <row r="181" spans="1:60" x14ac:dyDescent="0.3">
      <c r="A181" t="str">
        <f t="shared" si="11"/>
        <v xml:space="preserve">                &lt;Address&gt;539&lt;/Address&gt;</v>
      </c>
      <c r="B181" t="s">
        <v>40</v>
      </c>
      <c r="C181">
        <f>VLOOKUP(E292,$F$4:$G$37,2)</f>
        <v>539</v>
      </c>
      <c r="AQ181"/>
      <c r="AS181"/>
      <c r="AW181" s="4"/>
      <c r="AX181" s="4"/>
      <c r="BG181"/>
      <c r="BH181" s="4"/>
    </row>
    <row r="182" spans="1:60" x14ac:dyDescent="0.3">
      <c r="A182" t="str">
        <f t="shared" si="11"/>
        <v xml:space="preserve">                &lt;PropertyName&gt;CanDataObjectConfig2_1_ID_low&lt;/PropertyName&gt;</v>
      </c>
      <c r="B182" t="s">
        <v>41</v>
      </c>
      <c r="C182" t="str">
        <f>VLOOKUP(C181,$G$4:$H$37,2,FALSE)</f>
        <v>CanDataObjectConfig2_1_ID_low</v>
      </c>
      <c r="AQ182"/>
      <c r="AS182"/>
      <c r="AW182" s="4"/>
      <c r="AX182" s="4"/>
      <c r="BG182"/>
      <c r="BH182" s="4"/>
    </row>
    <row r="183" spans="1:60" x14ac:dyDescent="0.3">
      <c r="A183" t="str">
        <f t="shared" si="11"/>
        <v xml:space="preserve">                &lt;ParameterValue&gt;1296&lt;/ParameterValue&gt;</v>
      </c>
      <c r="B183" t="s">
        <v>43</v>
      </c>
      <c r="C183">
        <f>VLOOKUP(E292,$F$4:$AAN$37,$H$1+4)</f>
        <v>1296</v>
      </c>
      <c r="AQ183"/>
      <c r="AS183"/>
      <c r="AW183" s="4"/>
      <c r="AX183" s="4"/>
      <c r="BG183"/>
      <c r="BH183" s="4"/>
    </row>
    <row r="184" spans="1:60" x14ac:dyDescent="0.3">
      <c r="A184" t="str">
        <f t="shared" si="11"/>
        <v xml:space="preserve">            &lt;/ParameterFileItem&gt;</v>
      </c>
      <c r="B184" t="s">
        <v>33</v>
      </c>
      <c r="AQ184"/>
      <c r="AS184"/>
      <c r="AW184" s="4"/>
      <c r="AX184" s="4"/>
      <c r="BG184"/>
      <c r="BH184" s="4"/>
    </row>
    <row r="185" spans="1:60" x14ac:dyDescent="0.3">
      <c r="A185" t="str">
        <f t="shared" si="11"/>
        <v xml:space="preserve">            &lt;ParameterFileItem&gt;</v>
      </c>
      <c r="B185" t="s">
        <v>31</v>
      </c>
      <c r="AQ185"/>
      <c r="AS185"/>
      <c r="AW185" s="4"/>
      <c r="AX185" s="4"/>
      <c r="BG185"/>
      <c r="BH185" s="4"/>
    </row>
    <row r="186" spans="1:60" x14ac:dyDescent="0.3">
      <c r="A186" t="str">
        <f t="shared" si="11"/>
        <v xml:space="preserve">                &lt;ViewType&gt;ReadOnly&lt;/ViewType&gt;</v>
      </c>
      <c r="B186" t="s">
        <v>32</v>
      </c>
      <c r="AQ186"/>
      <c r="AS186"/>
      <c r="AW186" s="4"/>
      <c r="AX186" s="4"/>
      <c r="BG186"/>
      <c r="BH186" s="4"/>
    </row>
    <row r="187" spans="1:60" x14ac:dyDescent="0.3">
      <c r="A187" t="str">
        <f t="shared" si="11"/>
        <v xml:space="preserve">                &lt;Address&gt;540&lt;/Address&gt;</v>
      </c>
      <c r="B187" t="s">
        <v>40</v>
      </c>
      <c r="C187">
        <f>VLOOKUP(E298,$F$4:$G$37,2)</f>
        <v>540</v>
      </c>
      <c r="AQ187"/>
      <c r="AS187"/>
      <c r="AW187" s="4"/>
      <c r="AX187" s="4"/>
      <c r="BG187"/>
      <c r="BH187" s="4"/>
    </row>
    <row r="188" spans="1:60" x14ac:dyDescent="0.3">
      <c r="A188" t="str">
        <f t="shared" si="11"/>
        <v xml:space="preserve">                &lt;PropertyName&gt;CanDataObjectConfig2_1_ID_high&lt;/PropertyName&gt;</v>
      </c>
      <c r="B188" t="s">
        <v>41</v>
      </c>
      <c r="C188" t="str">
        <f>VLOOKUP(C187,$G$4:$H$37,2,FALSE)</f>
        <v>CanDataObjectConfig2_1_ID_high</v>
      </c>
      <c r="AQ188"/>
      <c r="AS188"/>
      <c r="AW188" s="4"/>
      <c r="AX188" s="4"/>
      <c r="BG188"/>
      <c r="BH188" s="4"/>
    </row>
    <row r="189" spans="1:60" x14ac:dyDescent="0.3">
      <c r="A189" t="str">
        <f t="shared" ref="A189:A207" si="12">CONCATENATE(B189,C189,D300)</f>
        <v xml:space="preserve">                &lt;ParameterValue&gt;0&lt;/ParameterValue&gt;</v>
      </c>
      <c r="B189" t="s">
        <v>43</v>
      </c>
      <c r="C189">
        <f>VLOOKUP(E298,$F$4:$AAN$37,$H$1+4)</f>
        <v>0</v>
      </c>
      <c r="AQ189"/>
      <c r="AS189"/>
      <c r="AW189" s="4"/>
      <c r="AX189" s="4"/>
      <c r="BG189"/>
      <c r="BH189" s="4"/>
    </row>
    <row r="190" spans="1:60" x14ac:dyDescent="0.3">
      <c r="A190" t="str">
        <f t="shared" si="12"/>
        <v xml:space="preserve">            &lt;/ParameterFileItem&gt;</v>
      </c>
      <c r="B190" t="s">
        <v>33</v>
      </c>
      <c r="AQ190"/>
      <c r="AS190"/>
      <c r="AW190" s="4"/>
      <c r="AX190" s="4"/>
      <c r="BG190"/>
      <c r="BH190" s="4"/>
    </row>
    <row r="191" spans="1:60" x14ac:dyDescent="0.3">
      <c r="A191" t="str">
        <f t="shared" si="12"/>
        <v xml:space="preserve">            &lt;ParameterFileItem&gt;</v>
      </c>
      <c r="B191" t="s">
        <v>31</v>
      </c>
      <c r="AQ191"/>
      <c r="AS191"/>
      <c r="AW191" s="4"/>
      <c r="AX191" s="4"/>
      <c r="BG191"/>
      <c r="BH191" s="4"/>
    </row>
    <row r="192" spans="1:60" x14ac:dyDescent="0.3">
      <c r="A192" t="str">
        <f t="shared" si="12"/>
        <v xml:space="preserve">                &lt;ViewType&gt;ReadOnly&lt;/ViewType&gt;</v>
      </c>
      <c r="B192" t="s">
        <v>32</v>
      </c>
      <c r="AQ192"/>
      <c r="AS192"/>
      <c r="AW192" s="4"/>
      <c r="AX192" s="4"/>
      <c r="BG192"/>
      <c r="BH192" s="4"/>
    </row>
    <row r="193" spans="1:60" x14ac:dyDescent="0.3">
      <c r="A193" t="str">
        <f t="shared" si="12"/>
        <v xml:space="preserve">                &lt;Address&gt;541&lt;/Address&gt;</v>
      </c>
      <c r="B193" t="s">
        <v>40</v>
      </c>
      <c r="C193">
        <f>VLOOKUP(E304,$F$4:$G$37,2)</f>
        <v>541</v>
      </c>
      <c r="AQ193"/>
      <c r="AS193"/>
      <c r="AW193" s="4"/>
      <c r="AX193" s="4"/>
      <c r="BG193"/>
      <c r="BH193" s="4"/>
    </row>
    <row r="194" spans="1:60" x14ac:dyDescent="0.3">
      <c r="A194" t="str">
        <f t="shared" si="12"/>
        <v xml:space="preserve">                &lt;PropertyName&gt;CanDataObjectConfig2_1_pdo_map_low&lt;/PropertyName&gt;</v>
      </c>
      <c r="B194" t="s">
        <v>41</v>
      </c>
      <c r="C194" t="str">
        <f>VLOOKUP(C193,$G$4:$H$37,2,FALSE)</f>
        <v>CanDataObjectConfig2_1_pdo_map_low</v>
      </c>
      <c r="AQ194"/>
      <c r="AS194"/>
      <c r="AW194" s="4"/>
      <c r="AX194" s="4"/>
      <c r="BG194"/>
      <c r="BH194" s="4"/>
    </row>
    <row r="195" spans="1:60" x14ac:dyDescent="0.3">
      <c r="A195" t="str">
        <f t="shared" si="12"/>
        <v xml:space="preserve">                &lt;ParameterValue&gt;15932&lt;/ParameterValue&gt;</v>
      </c>
      <c r="B195" t="s">
        <v>43</v>
      </c>
      <c r="C195">
        <f>VLOOKUP(E304,$F$4:$AAN$37,$H$1+4)</f>
        <v>15932</v>
      </c>
      <c r="AQ195"/>
      <c r="AS195"/>
      <c r="AW195" s="4"/>
      <c r="AX195" s="4"/>
      <c r="BG195"/>
      <c r="BH195" s="4"/>
    </row>
    <row r="196" spans="1:60" x14ac:dyDescent="0.3">
      <c r="A196" t="str">
        <f t="shared" si="12"/>
        <v xml:space="preserve">            &lt;/ParameterFileItem&gt;</v>
      </c>
      <c r="B196" t="s">
        <v>33</v>
      </c>
      <c r="AQ196"/>
      <c r="AS196"/>
      <c r="AW196" s="4"/>
      <c r="AX196" s="4"/>
      <c r="BG196"/>
      <c r="BH196" s="4"/>
    </row>
    <row r="197" spans="1:60" x14ac:dyDescent="0.3">
      <c r="A197" t="str">
        <f t="shared" si="12"/>
        <v xml:space="preserve">            &lt;ParameterFileItem&gt;</v>
      </c>
      <c r="B197" t="s">
        <v>31</v>
      </c>
      <c r="AQ197"/>
      <c r="AS197"/>
      <c r="AW197" s="4"/>
      <c r="AX197" s="4"/>
      <c r="BG197"/>
      <c r="BH197" s="4"/>
    </row>
    <row r="198" spans="1:60" x14ac:dyDescent="0.3">
      <c r="A198" t="str">
        <f t="shared" si="12"/>
        <v xml:space="preserve">                &lt;ViewType&gt;ReadOnly&lt;/ViewType&gt;</v>
      </c>
      <c r="B198" t="s">
        <v>32</v>
      </c>
      <c r="AQ198"/>
      <c r="AS198"/>
      <c r="AW198" s="4"/>
      <c r="AX198" s="4"/>
      <c r="BG198"/>
      <c r="BH198" s="4"/>
    </row>
    <row r="199" spans="1:60" x14ac:dyDescent="0.3">
      <c r="A199" t="str">
        <f t="shared" si="12"/>
        <v xml:space="preserve">                &lt;Address&gt;542&lt;/Address&gt;</v>
      </c>
      <c r="B199" t="s">
        <v>40</v>
      </c>
      <c r="C199">
        <f>VLOOKUP(E310,$F$4:$G$37,2)</f>
        <v>542</v>
      </c>
      <c r="AQ199"/>
      <c r="AS199"/>
      <c r="AW199" s="4"/>
      <c r="AX199" s="4"/>
      <c r="BG199"/>
      <c r="BH199" s="4"/>
    </row>
    <row r="200" spans="1:60" x14ac:dyDescent="0.3">
      <c r="A200" t="str">
        <f t="shared" si="12"/>
        <v xml:space="preserve">                &lt;PropertyName&gt;CanDataObjectConfig2_1_pdo_map_high&lt;/PropertyName&gt;</v>
      </c>
      <c r="B200" t="s">
        <v>41</v>
      </c>
      <c r="C200" t="str">
        <f>VLOOKUP(C199,$G$4:$H$37,2,FALSE)</f>
        <v>CanDataObjectConfig2_1_pdo_map_high</v>
      </c>
      <c r="AQ200"/>
      <c r="AS200"/>
      <c r="AW200" s="4"/>
      <c r="AX200" s="4"/>
      <c r="BG200"/>
      <c r="BH200" s="4"/>
    </row>
    <row r="201" spans="1:60" x14ac:dyDescent="0.3">
      <c r="A201" t="str">
        <f t="shared" si="12"/>
        <v xml:space="preserve">                &lt;ParameterValue&gt;16447&lt;/ParameterValue&gt;</v>
      </c>
      <c r="B201" t="s">
        <v>43</v>
      </c>
      <c r="C201">
        <f>VLOOKUP(E310,$F$4:$AAN$37,$H$1+4)</f>
        <v>16447</v>
      </c>
      <c r="AQ201"/>
      <c r="AS201"/>
      <c r="AW201" s="4"/>
      <c r="AX201" s="4"/>
      <c r="BG201"/>
      <c r="BH201" s="4"/>
    </row>
    <row r="202" spans="1:60" x14ac:dyDescent="0.3">
      <c r="A202" t="str">
        <f t="shared" si="12"/>
        <v xml:space="preserve">            &lt;/ParameterFileItem&gt;</v>
      </c>
      <c r="B202" t="s">
        <v>33</v>
      </c>
      <c r="AQ202"/>
      <c r="AS202"/>
      <c r="AW202" s="4"/>
      <c r="AX202" s="4"/>
      <c r="BG202"/>
      <c r="BH202" s="4"/>
    </row>
    <row r="203" spans="1:60" x14ac:dyDescent="0.3">
      <c r="A203" t="str">
        <f t="shared" si="12"/>
        <v xml:space="preserve">            &lt;ParameterFileItem&gt;</v>
      </c>
      <c r="B203" t="s">
        <v>31</v>
      </c>
      <c r="AQ203"/>
      <c r="AS203"/>
      <c r="AW203" s="4"/>
      <c r="AX203" s="4"/>
      <c r="BG203"/>
      <c r="BH203" s="4"/>
    </row>
    <row r="204" spans="1:60" x14ac:dyDescent="0.3">
      <c r="A204" t="str">
        <f t="shared" si="12"/>
        <v xml:space="preserve">                &lt;ViewType&gt;ReadOnly&lt;/ViewType&gt;</v>
      </c>
      <c r="B204" t="s">
        <v>32</v>
      </c>
      <c r="AQ204"/>
      <c r="AS204"/>
      <c r="AW204" s="4"/>
      <c r="AX204" s="4"/>
      <c r="BG204"/>
      <c r="BH204" s="4"/>
    </row>
    <row r="205" spans="1:60" x14ac:dyDescent="0.3">
      <c r="A205" t="str">
        <f t="shared" si="12"/>
        <v xml:space="preserve">                &lt;Address&gt;599&lt;/Address&gt;</v>
      </c>
      <c r="B205" t="s">
        <v>40</v>
      </c>
      <c r="C205">
        <f>VLOOKUP(E316,$F$4:$G$37,2)</f>
        <v>599</v>
      </c>
      <c r="AQ205"/>
      <c r="AS205"/>
      <c r="AW205" s="4"/>
      <c r="AX205" s="4"/>
      <c r="BG205"/>
      <c r="BH205" s="4"/>
    </row>
    <row r="206" spans="1:60" x14ac:dyDescent="0.3">
      <c r="A206" t="str">
        <f t="shared" si="12"/>
        <v xml:space="preserve">                &lt;PropertyName&gt;RpdoEndianessMap&lt;/PropertyName&gt;</v>
      </c>
      <c r="B206" t="s">
        <v>41</v>
      </c>
      <c r="C206" t="str">
        <f>VLOOKUP(C205,$G$4:$H$37,2,FALSE)</f>
        <v>RpdoEndianessMap</v>
      </c>
      <c r="AQ206"/>
      <c r="AS206"/>
      <c r="AW206" s="4"/>
      <c r="AX206" s="4"/>
      <c r="BG206"/>
      <c r="BH206" s="4"/>
    </row>
    <row r="207" spans="1:60" x14ac:dyDescent="0.3">
      <c r="A207" t="str">
        <f t="shared" si="12"/>
        <v xml:space="preserve">                &lt;ParameterValue&gt;0&lt;/ParameterValue&gt;</v>
      </c>
      <c r="B207" t="s">
        <v>43</v>
      </c>
      <c r="C207">
        <f>VLOOKUP(E316,$F$4:$AAN$37,$H$1+4)</f>
        <v>0</v>
      </c>
      <c r="AQ207"/>
      <c r="AS207"/>
      <c r="AW207" s="4"/>
      <c r="AX207" s="4"/>
      <c r="BG207"/>
      <c r="BH207" s="4"/>
    </row>
    <row r="208" spans="1:60" x14ac:dyDescent="0.3">
      <c r="A208" t="str">
        <f>CONCATENATE(B208,C155,D155)</f>
        <v xml:space="preserve">            &lt;/ParameterFileItem&gt;</v>
      </c>
      <c r="B208" t="s">
        <v>33</v>
      </c>
      <c r="AQ208"/>
      <c r="AS208"/>
      <c r="AW208" s="4"/>
      <c r="AX208" s="4"/>
      <c r="BG208"/>
      <c r="BH208" s="4"/>
    </row>
    <row r="209" spans="1:60" x14ac:dyDescent="0.3">
      <c r="A209" t="str">
        <f>CONCATENATE(B209,C156,D156)</f>
        <v xml:space="preserve">    &lt;/ParameterFileItemList&gt;</v>
      </c>
      <c r="B209" t="s">
        <v>145</v>
      </c>
      <c r="AQ209"/>
      <c r="AS209"/>
      <c r="AW209" s="4"/>
      <c r="AX209" s="4"/>
      <c r="BG209"/>
      <c r="BH209" s="4"/>
    </row>
    <row r="210" spans="1:60" x14ac:dyDescent="0.3">
      <c r="A210" t="s">
        <v>152</v>
      </c>
      <c r="B210" t="s">
        <v>146</v>
      </c>
      <c r="AQ210"/>
      <c r="AS210"/>
      <c r="AW210" s="4"/>
      <c r="AX210" s="4"/>
      <c r="BG210"/>
      <c r="BH210" s="4"/>
    </row>
    <row r="211" spans="1:60" x14ac:dyDescent="0.3">
      <c r="AQ211"/>
      <c r="AS211"/>
      <c r="AW211" s="4"/>
      <c r="AX211" s="4"/>
      <c r="BG211"/>
      <c r="BH211" s="4"/>
    </row>
    <row r="212" spans="1:60" x14ac:dyDescent="0.3">
      <c r="AQ212"/>
      <c r="AS212"/>
      <c r="AW212" s="4"/>
      <c r="AX212" s="4"/>
      <c r="BG212"/>
      <c r="BH212" s="4"/>
    </row>
    <row r="213" spans="1:60" x14ac:dyDescent="0.3">
      <c r="AQ213"/>
      <c r="AS213"/>
      <c r="AW213" s="4"/>
      <c r="AX213" s="4"/>
      <c r="BG213"/>
      <c r="BH213" s="4"/>
    </row>
    <row r="214" spans="1:60" x14ac:dyDescent="0.3">
      <c r="AQ214"/>
      <c r="AS214"/>
      <c r="AW214" s="4"/>
      <c r="AX214" s="4"/>
      <c r="BG214"/>
      <c r="BH214" s="4"/>
    </row>
    <row r="215" spans="1:60" x14ac:dyDescent="0.3">
      <c r="AQ215"/>
      <c r="AS215"/>
      <c r="AW215" s="4"/>
      <c r="AX215" s="4"/>
      <c r="BG215"/>
      <c r="BH215" s="4"/>
    </row>
    <row r="216" spans="1:60" x14ac:dyDescent="0.3">
      <c r="AQ216"/>
      <c r="AS216"/>
      <c r="AW216" s="4"/>
      <c r="AX216" s="4"/>
      <c r="BG216"/>
      <c r="BH216" s="4"/>
    </row>
    <row r="217" spans="1:60" x14ac:dyDescent="0.3">
      <c r="AQ217"/>
      <c r="AS217"/>
      <c r="AW217" s="4"/>
      <c r="AX217" s="4"/>
      <c r="BG217"/>
      <c r="BH217" s="4"/>
    </row>
    <row r="218" spans="1:60" x14ac:dyDescent="0.3">
      <c r="AQ218"/>
      <c r="AS218"/>
      <c r="AW218" s="4"/>
      <c r="AX218" s="4"/>
      <c r="BG218"/>
      <c r="BH218" s="4"/>
    </row>
    <row r="219" spans="1:60" x14ac:dyDescent="0.3">
      <c r="AQ219"/>
      <c r="AS219"/>
      <c r="AW219" s="4"/>
      <c r="AX219" s="4"/>
      <c r="BG219"/>
      <c r="BH219" s="4"/>
    </row>
    <row r="220" spans="1:60" x14ac:dyDescent="0.3">
      <c r="AQ220"/>
      <c r="AS220"/>
      <c r="AW220" s="4"/>
      <c r="AX220" s="4"/>
      <c r="BG220"/>
      <c r="BH220" s="4"/>
    </row>
    <row r="221" spans="1:60" x14ac:dyDescent="0.3">
      <c r="AQ221"/>
      <c r="AS221"/>
      <c r="AW221" s="4"/>
      <c r="AX221" s="4"/>
      <c r="BG221"/>
      <c r="BH221" s="4"/>
    </row>
    <row r="222" spans="1:60" x14ac:dyDescent="0.3">
      <c r="AQ222"/>
      <c r="AS222"/>
      <c r="AW222" s="4"/>
      <c r="AX222" s="4"/>
      <c r="BG222"/>
      <c r="BH222" s="4"/>
    </row>
    <row r="223" spans="1:60" x14ac:dyDescent="0.3">
      <c r="AQ223"/>
      <c r="AS223"/>
      <c r="AW223" s="4"/>
      <c r="AX223" s="4"/>
      <c r="BG223"/>
      <c r="BH223" s="4"/>
    </row>
    <row r="224" spans="1:60" x14ac:dyDescent="0.3">
      <c r="AQ224"/>
      <c r="AS224"/>
      <c r="AW224" s="4"/>
      <c r="AX224" s="4"/>
      <c r="BG224"/>
      <c r="BH224" s="4"/>
    </row>
    <row r="225" spans="43:60" x14ac:dyDescent="0.3">
      <c r="AQ225"/>
      <c r="AS225"/>
      <c r="AW225" s="4"/>
      <c r="AX225" s="4"/>
      <c r="BG225"/>
      <c r="BH225" s="4"/>
    </row>
    <row r="226" spans="43:60" x14ac:dyDescent="0.3">
      <c r="AQ226"/>
      <c r="AS226"/>
      <c r="AW226" s="4"/>
      <c r="AX226" s="4"/>
      <c r="BG226"/>
      <c r="BH226" s="4"/>
    </row>
    <row r="227" spans="43:60" x14ac:dyDescent="0.3">
      <c r="AQ227"/>
      <c r="AS227"/>
      <c r="AW227" s="4"/>
      <c r="AX227" s="4"/>
      <c r="BG227"/>
      <c r="BH227" s="4"/>
    </row>
    <row r="228" spans="43:60" x14ac:dyDescent="0.3">
      <c r="AQ228"/>
      <c r="AS228"/>
      <c r="AW228" s="4"/>
      <c r="AX228" s="4"/>
      <c r="BG228"/>
      <c r="BH228" s="4"/>
    </row>
    <row r="229" spans="43:60" x14ac:dyDescent="0.3">
      <c r="AQ229"/>
      <c r="AS229"/>
      <c r="AW229" s="4"/>
      <c r="AX229" s="4"/>
      <c r="BG229"/>
      <c r="BH229" s="4"/>
    </row>
    <row r="230" spans="43:60" x14ac:dyDescent="0.3">
      <c r="AQ230"/>
      <c r="AS230"/>
      <c r="AW230" s="4"/>
      <c r="AX230" s="4"/>
      <c r="BG230"/>
      <c r="BH230" s="4"/>
    </row>
    <row r="231" spans="43:60" x14ac:dyDescent="0.3">
      <c r="AQ231"/>
      <c r="AS231"/>
      <c r="AW231" s="4"/>
      <c r="AX231" s="4"/>
      <c r="BG231"/>
      <c r="BH231" s="4"/>
    </row>
    <row r="232" spans="43:60" x14ac:dyDescent="0.3">
      <c r="AQ232"/>
      <c r="AS232"/>
      <c r="AW232" s="4"/>
      <c r="AX232" s="4"/>
      <c r="BG232"/>
      <c r="BH232" s="4"/>
    </row>
    <row r="233" spans="43:60" x14ac:dyDescent="0.3">
      <c r="AQ233"/>
      <c r="AS233"/>
      <c r="AW233" s="4"/>
      <c r="AX233" s="4"/>
      <c r="BG233"/>
      <c r="BH233" s="4"/>
    </row>
    <row r="234" spans="43:60" x14ac:dyDescent="0.3">
      <c r="AQ234"/>
      <c r="AS234"/>
      <c r="AW234" s="4"/>
      <c r="AX234" s="4"/>
      <c r="BG234"/>
      <c r="BH234" s="4"/>
    </row>
    <row r="235" spans="43:60" x14ac:dyDescent="0.3">
      <c r="AQ235"/>
      <c r="AS235"/>
      <c r="AW235" s="4"/>
      <c r="AX235" s="4"/>
      <c r="BG235"/>
      <c r="BH235" s="4"/>
    </row>
    <row r="236" spans="43:60" x14ac:dyDescent="0.3">
      <c r="AQ236"/>
      <c r="AS236"/>
      <c r="AW236" s="4"/>
      <c r="AX236" s="4"/>
      <c r="BG236"/>
      <c r="BH236" s="4"/>
    </row>
    <row r="237" spans="43:60" x14ac:dyDescent="0.3">
      <c r="AQ237"/>
      <c r="AS237"/>
      <c r="AW237" s="4"/>
      <c r="AX237" s="4"/>
      <c r="BG237"/>
      <c r="BH237" s="4"/>
    </row>
    <row r="238" spans="43:60" x14ac:dyDescent="0.3">
      <c r="AQ238"/>
      <c r="AS238"/>
      <c r="AW238" s="4"/>
      <c r="AX238" s="4"/>
      <c r="BG238"/>
      <c r="BH238" s="4"/>
    </row>
    <row r="239" spans="43:60" x14ac:dyDescent="0.3">
      <c r="AQ239"/>
      <c r="AS239"/>
      <c r="AW239" s="4"/>
      <c r="AX239" s="4"/>
      <c r="BG239"/>
      <c r="BH239" s="4"/>
    </row>
    <row r="240" spans="43:60" x14ac:dyDescent="0.3">
      <c r="AQ240"/>
      <c r="AS240"/>
      <c r="AW240" s="4"/>
      <c r="AX240" s="4"/>
      <c r="BG240"/>
      <c r="BH240" s="4"/>
    </row>
    <row r="241" spans="43:60" x14ac:dyDescent="0.3">
      <c r="AQ241"/>
      <c r="AS241"/>
      <c r="AW241" s="4"/>
      <c r="AX241" s="4"/>
      <c r="BG241"/>
      <c r="BH241" s="4"/>
    </row>
    <row r="242" spans="43:60" x14ac:dyDescent="0.3">
      <c r="AQ242"/>
      <c r="AS242"/>
      <c r="AW242" s="4"/>
      <c r="AX242" s="4"/>
      <c r="BG242"/>
      <c r="BH242" s="4"/>
    </row>
    <row r="243" spans="43:60" x14ac:dyDescent="0.3">
      <c r="AQ243"/>
      <c r="AS243"/>
      <c r="AW243" s="4"/>
      <c r="AX243" s="4"/>
      <c r="BG243"/>
      <c r="BH243" s="4"/>
    </row>
    <row r="244" spans="43:60" x14ac:dyDescent="0.3">
      <c r="AQ244"/>
      <c r="AS244"/>
      <c r="AW244" s="4"/>
      <c r="AX244" s="4"/>
      <c r="BG244"/>
      <c r="BH244" s="4"/>
    </row>
    <row r="245" spans="43:60" x14ac:dyDescent="0.3">
      <c r="AQ245"/>
      <c r="AS245"/>
      <c r="AW245" s="4"/>
      <c r="AX245" s="4"/>
      <c r="BG245"/>
      <c r="BH245" s="4"/>
    </row>
    <row r="246" spans="43:60" x14ac:dyDescent="0.3">
      <c r="AQ246"/>
      <c r="AS246"/>
      <c r="AW246" s="4"/>
      <c r="AX246" s="4"/>
      <c r="BG246"/>
      <c r="BH246" s="4"/>
    </row>
    <row r="247" spans="43:60" x14ac:dyDescent="0.3">
      <c r="AQ247"/>
      <c r="AS247"/>
      <c r="AW247" s="4"/>
      <c r="AX247" s="4"/>
      <c r="BG247"/>
      <c r="BH247" s="4"/>
    </row>
    <row r="248" spans="43:60" x14ac:dyDescent="0.3">
      <c r="AQ248"/>
      <c r="AS248"/>
      <c r="AW248" s="4"/>
      <c r="AX248" s="4"/>
      <c r="BG248"/>
      <c r="BH248" s="4"/>
    </row>
    <row r="249" spans="43:60" x14ac:dyDescent="0.3">
      <c r="AQ249"/>
      <c r="AS249"/>
      <c r="AW249" s="4"/>
      <c r="AX249" s="4"/>
      <c r="BG249"/>
      <c r="BH249" s="4"/>
    </row>
    <row r="250" spans="43:60" x14ac:dyDescent="0.3">
      <c r="AQ250"/>
      <c r="AS250"/>
      <c r="AW250" s="4"/>
      <c r="AX250" s="4"/>
      <c r="BG250"/>
      <c r="BH250" s="4"/>
    </row>
    <row r="251" spans="43:60" x14ac:dyDescent="0.3">
      <c r="AQ251"/>
      <c r="AS251"/>
      <c r="AW251" s="4"/>
      <c r="AX251" s="4"/>
      <c r="BG251"/>
      <c r="BH251" s="4"/>
    </row>
    <row r="252" spans="43:60" x14ac:dyDescent="0.3">
      <c r="AQ252"/>
      <c r="AS252"/>
      <c r="AW252" s="4"/>
      <c r="AX252" s="4"/>
      <c r="BG252"/>
      <c r="BH252" s="4"/>
    </row>
    <row r="253" spans="43:60" x14ac:dyDescent="0.3">
      <c r="AQ253"/>
      <c r="AS253"/>
      <c r="AW253" s="4"/>
      <c r="AX253" s="4"/>
      <c r="BG253"/>
      <c r="BH253" s="4"/>
    </row>
    <row r="254" spans="43:60" x14ac:dyDescent="0.3">
      <c r="AQ254"/>
      <c r="AS254"/>
      <c r="AW254" s="4"/>
      <c r="AX254" s="4"/>
      <c r="BG254"/>
      <c r="BH254" s="4"/>
    </row>
    <row r="255" spans="43:60" x14ac:dyDescent="0.3">
      <c r="AQ255"/>
      <c r="AS255"/>
      <c r="AW255" s="4"/>
      <c r="AX255" s="4"/>
      <c r="BG255"/>
      <c r="BH255" s="4"/>
    </row>
    <row r="256" spans="43:60" x14ac:dyDescent="0.3">
      <c r="AQ256"/>
      <c r="AS256"/>
      <c r="AW256" s="4"/>
      <c r="AX256" s="4"/>
      <c r="BG256"/>
      <c r="BH256" s="4"/>
    </row>
    <row r="257" spans="4:60" x14ac:dyDescent="0.3">
      <c r="AQ257"/>
      <c r="AS257"/>
      <c r="AW257" s="4"/>
      <c r="AX257" s="4"/>
      <c r="BG257"/>
      <c r="BH257" s="4"/>
    </row>
    <row r="258" spans="4:60" x14ac:dyDescent="0.3">
      <c r="AQ258"/>
      <c r="AS258"/>
      <c r="AW258" s="4"/>
      <c r="AX258" s="4"/>
      <c r="BG258"/>
      <c r="BH258" s="4"/>
    </row>
    <row r="259" spans="4:60" x14ac:dyDescent="0.3">
      <c r="AQ259"/>
      <c r="AS259"/>
      <c r="AW259" s="4"/>
      <c r="AX259" s="4"/>
      <c r="BG259"/>
      <c r="BH259" s="4"/>
    </row>
    <row r="260" spans="4:60" x14ac:dyDescent="0.3">
      <c r="AQ260"/>
      <c r="AS260"/>
      <c r="AW260" s="4"/>
      <c r="AX260" s="4"/>
      <c r="BG260"/>
      <c r="BH260" s="4"/>
    </row>
    <row r="261" spans="4:60" x14ac:dyDescent="0.3">
      <c r="AQ261"/>
      <c r="AS261"/>
      <c r="AW261" s="4"/>
      <c r="AX261" s="4"/>
      <c r="BG261"/>
      <c r="BH261" s="4"/>
    </row>
    <row r="262" spans="4:60" x14ac:dyDescent="0.3">
      <c r="AQ262"/>
      <c r="AS262"/>
      <c r="AW262" s="4"/>
      <c r="AX262" s="4"/>
      <c r="BG262"/>
      <c r="BH262" s="4"/>
    </row>
    <row r="263" spans="4:60" x14ac:dyDescent="0.3">
      <c r="AQ263"/>
      <c r="AS263"/>
      <c r="AW263" s="4"/>
      <c r="AX263" s="4"/>
      <c r="BG263"/>
      <c r="BH263" s="4"/>
    </row>
    <row r="264" spans="4:60" x14ac:dyDescent="0.3">
      <c r="AQ264"/>
      <c r="AS264"/>
      <c r="AW264" s="4"/>
      <c r="AX264" s="4"/>
      <c r="BG264"/>
      <c r="BH264" s="4"/>
    </row>
    <row r="265" spans="4:60" x14ac:dyDescent="0.3">
      <c r="AQ265"/>
      <c r="AS265"/>
      <c r="AW265" s="4"/>
      <c r="AX265" s="4"/>
      <c r="BG265"/>
      <c r="BH265" s="4"/>
    </row>
    <row r="266" spans="4:60" x14ac:dyDescent="0.3">
      <c r="AQ266"/>
      <c r="AS266"/>
      <c r="AW266" s="4"/>
      <c r="AX266" s="4"/>
      <c r="BG266"/>
      <c r="BH266" s="4"/>
    </row>
    <row r="267" spans="4:60" x14ac:dyDescent="0.3">
      <c r="AQ267"/>
      <c r="AS267"/>
      <c r="AW267" s="4"/>
      <c r="AX267" s="4"/>
      <c r="BG267"/>
      <c r="BH267" s="4"/>
    </row>
    <row r="268" spans="4:60" x14ac:dyDescent="0.3">
      <c r="D268" t="s">
        <v>39</v>
      </c>
      <c r="E268">
        <v>26</v>
      </c>
      <c r="AQ268"/>
      <c r="AS268"/>
      <c r="AW268" s="4"/>
      <c r="AX268" s="4"/>
      <c r="BG268"/>
      <c r="BH268" s="4"/>
    </row>
    <row r="269" spans="4:60" x14ac:dyDescent="0.3">
      <c r="D269" t="s">
        <v>42</v>
      </c>
      <c r="AQ269"/>
      <c r="AS269"/>
      <c r="AW269" s="4"/>
      <c r="AX269" s="4"/>
      <c r="BG269"/>
      <c r="BH269" s="4"/>
    </row>
    <row r="270" spans="4:60" x14ac:dyDescent="0.3">
      <c r="D270" t="s">
        <v>44</v>
      </c>
      <c r="AQ270"/>
      <c r="AS270"/>
      <c r="AW270" s="4"/>
      <c r="AX270" s="4"/>
      <c r="BG270"/>
      <c r="BH270" s="4"/>
    </row>
    <row r="271" spans="4:60" x14ac:dyDescent="0.3">
      <c r="AQ271"/>
      <c r="AS271"/>
      <c r="AW271" s="4"/>
      <c r="AX271" s="4"/>
      <c r="BG271"/>
      <c r="BH271" s="4"/>
    </row>
    <row r="272" spans="4:60" x14ac:dyDescent="0.3">
      <c r="AQ272"/>
      <c r="AS272"/>
      <c r="AW272" s="4"/>
      <c r="AX272" s="4"/>
      <c r="BG272"/>
      <c r="BH272" s="4"/>
    </row>
    <row r="273" spans="4:60" x14ac:dyDescent="0.3">
      <c r="AQ273"/>
      <c r="AS273"/>
      <c r="AW273" s="4"/>
      <c r="AX273" s="4"/>
      <c r="BG273"/>
      <c r="BH273" s="4"/>
    </row>
    <row r="274" spans="4:60" x14ac:dyDescent="0.3">
      <c r="D274" t="s">
        <v>39</v>
      </c>
      <c r="E274">
        <v>27</v>
      </c>
      <c r="AQ274"/>
      <c r="AS274"/>
      <c r="AW274" s="4"/>
      <c r="AX274" s="4"/>
      <c r="BG274"/>
      <c r="BH274" s="4"/>
    </row>
    <row r="275" spans="4:60" x14ac:dyDescent="0.3">
      <c r="D275" t="s">
        <v>42</v>
      </c>
      <c r="AQ275"/>
      <c r="AS275"/>
      <c r="AW275" s="4"/>
      <c r="AX275" s="4"/>
      <c r="BG275"/>
      <c r="BH275" s="4"/>
    </row>
    <row r="276" spans="4:60" x14ac:dyDescent="0.3">
      <c r="D276" t="s">
        <v>44</v>
      </c>
      <c r="AQ276"/>
      <c r="AS276"/>
      <c r="AW276" s="4"/>
      <c r="AX276" s="4"/>
      <c r="BG276"/>
      <c r="BH276" s="4"/>
    </row>
    <row r="277" spans="4:60" x14ac:dyDescent="0.3">
      <c r="AQ277"/>
      <c r="AS277"/>
      <c r="AW277" s="4"/>
      <c r="AX277" s="4"/>
      <c r="BG277"/>
      <c r="BH277" s="4"/>
    </row>
    <row r="278" spans="4:60" x14ac:dyDescent="0.3">
      <c r="AQ278"/>
      <c r="AS278"/>
      <c r="AW278" s="4"/>
      <c r="AX278" s="4"/>
      <c r="BG278"/>
      <c r="BH278" s="4"/>
    </row>
    <row r="279" spans="4:60" x14ac:dyDescent="0.3">
      <c r="AQ279"/>
      <c r="AS279"/>
      <c r="AW279" s="4"/>
      <c r="AX279" s="4"/>
      <c r="BG279"/>
      <c r="BH279" s="4"/>
    </row>
    <row r="280" spans="4:60" x14ac:dyDescent="0.3">
      <c r="D280" t="s">
        <v>39</v>
      </c>
      <c r="E280">
        <v>28</v>
      </c>
      <c r="AQ280"/>
      <c r="AS280"/>
      <c r="AW280" s="4"/>
      <c r="AX280" s="4"/>
      <c r="BG280"/>
      <c r="BH280" s="4"/>
    </row>
    <row r="281" spans="4:60" x14ac:dyDescent="0.3">
      <c r="D281" t="s">
        <v>42</v>
      </c>
      <c r="AQ281"/>
      <c r="AS281"/>
      <c r="AW281" s="4"/>
      <c r="AX281" s="4"/>
      <c r="BG281"/>
      <c r="BH281" s="4"/>
    </row>
    <row r="282" spans="4:60" x14ac:dyDescent="0.3">
      <c r="D282" t="s">
        <v>44</v>
      </c>
      <c r="AQ282"/>
      <c r="AS282"/>
      <c r="AW282" s="4"/>
      <c r="AX282" s="4"/>
      <c r="BG282"/>
      <c r="BH282" s="4"/>
    </row>
    <row r="283" spans="4:60" x14ac:dyDescent="0.3">
      <c r="AQ283"/>
      <c r="AS283"/>
      <c r="AW283" s="4"/>
      <c r="AX283" s="4"/>
      <c r="BG283"/>
      <c r="BH283" s="4"/>
    </row>
    <row r="284" spans="4:60" x14ac:dyDescent="0.3">
      <c r="AQ284"/>
      <c r="AS284"/>
      <c r="AW284" s="4"/>
      <c r="AX284" s="4"/>
      <c r="BG284"/>
      <c r="BH284" s="4"/>
    </row>
    <row r="285" spans="4:60" x14ac:dyDescent="0.3">
      <c r="AQ285"/>
      <c r="AS285"/>
      <c r="AW285" s="4"/>
      <c r="AX285" s="4"/>
      <c r="BG285"/>
      <c r="BH285" s="4"/>
    </row>
    <row r="286" spans="4:60" x14ac:dyDescent="0.3">
      <c r="D286" t="s">
        <v>39</v>
      </c>
      <c r="E286">
        <v>29</v>
      </c>
      <c r="AQ286"/>
      <c r="AS286"/>
      <c r="AW286" s="4"/>
      <c r="AX286" s="4"/>
      <c r="BG286"/>
      <c r="BH286" s="4"/>
    </row>
    <row r="287" spans="4:60" x14ac:dyDescent="0.3">
      <c r="D287" t="s">
        <v>42</v>
      </c>
      <c r="AQ287"/>
      <c r="AS287"/>
      <c r="AW287" s="4"/>
      <c r="AX287" s="4"/>
      <c r="BG287"/>
      <c r="BH287" s="4"/>
    </row>
    <row r="288" spans="4:60" x14ac:dyDescent="0.3">
      <c r="D288" t="s">
        <v>44</v>
      </c>
      <c r="AQ288"/>
      <c r="AS288"/>
      <c r="AW288" s="4"/>
      <c r="AX288" s="4"/>
      <c r="BG288"/>
      <c r="BH288" s="4"/>
    </row>
    <row r="289" spans="4:60" x14ac:dyDescent="0.3">
      <c r="AQ289"/>
      <c r="AS289"/>
      <c r="AW289" s="4"/>
      <c r="AX289" s="4"/>
      <c r="BG289"/>
      <c r="BH289" s="4"/>
    </row>
    <row r="290" spans="4:60" x14ac:dyDescent="0.3">
      <c r="AQ290"/>
      <c r="AS290"/>
      <c r="AW290" s="4"/>
      <c r="AX290" s="4"/>
      <c r="BG290"/>
      <c r="BH290" s="4"/>
    </row>
    <row r="291" spans="4:60" x14ac:dyDescent="0.3">
      <c r="AQ291"/>
      <c r="AS291"/>
      <c r="AW291" s="4"/>
      <c r="AX291" s="4"/>
      <c r="BG291"/>
      <c r="BH291" s="4"/>
    </row>
    <row r="292" spans="4:60" x14ac:dyDescent="0.3">
      <c r="D292" t="s">
        <v>39</v>
      </c>
      <c r="E292">
        <v>30</v>
      </c>
      <c r="AQ292"/>
      <c r="AS292"/>
      <c r="AW292" s="4"/>
      <c r="AX292" s="4"/>
      <c r="BG292"/>
      <c r="BH292" s="4"/>
    </row>
    <row r="293" spans="4:60" x14ac:dyDescent="0.3">
      <c r="D293" t="s">
        <v>42</v>
      </c>
      <c r="AQ293"/>
      <c r="AS293"/>
      <c r="AW293" s="4"/>
      <c r="AX293" s="4"/>
      <c r="BG293"/>
      <c r="BH293" s="4"/>
    </row>
    <row r="294" spans="4:60" x14ac:dyDescent="0.3">
      <c r="D294" t="s">
        <v>44</v>
      </c>
      <c r="AQ294"/>
      <c r="AS294"/>
      <c r="AW294" s="4"/>
      <c r="AX294" s="4"/>
      <c r="BG294"/>
      <c r="BH294" s="4"/>
    </row>
    <row r="295" spans="4:60" x14ac:dyDescent="0.3">
      <c r="AQ295"/>
      <c r="AS295"/>
      <c r="AW295" s="4"/>
      <c r="AX295" s="4"/>
      <c r="BG295"/>
      <c r="BH295" s="4"/>
    </row>
    <row r="296" spans="4:60" x14ac:dyDescent="0.3">
      <c r="AQ296"/>
      <c r="AS296"/>
      <c r="AW296" s="4"/>
      <c r="AX296" s="4"/>
      <c r="BG296"/>
      <c r="BH296" s="4"/>
    </row>
    <row r="297" spans="4:60" x14ac:dyDescent="0.3">
      <c r="AQ297"/>
      <c r="AS297"/>
      <c r="AW297" s="4"/>
      <c r="AX297" s="4"/>
      <c r="BG297"/>
      <c r="BH297" s="4"/>
    </row>
    <row r="298" spans="4:60" x14ac:dyDescent="0.3">
      <c r="D298" t="s">
        <v>39</v>
      </c>
      <c r="E298">
        <v>31</v>
      </c>
      <c r="AQ298"/>
      <c r="AS298"/>
      <c r="AW298" s="4"/>
      <c r="AX298" s="4"/>
      <c r="BG298"/>
      <c r="BH298" s="4"/>
    </row>
    <row r="299" spans="4:60" x14ac:dyDescent="0.3">
      <c r="D299" t="s">
        <v>42</v>
      </c>
      <c r="AQ299"/>
      <c r="AS299"/>
      <c r="AW299" s="4"/>
      <c r="AX299" s="4"/>
      <c r="BG299"/>
      <c r="BH299" s="4"/>
    </row>
    <row r="300" spans="4:60" x14ac:dyDescent="0.3">
      <c r="D300" t="s">
        <v>44</v>
      </c>
      <c r="AQ300"/>
      <c r="AS300"/>
      <c r="AW300" s="4"/>
      <c r="AX300" s="4"/>
      <c r="BG300"/>
      <c r="BH300" s="4"/>
    </row>
    <row r="301" spans="4:60" x14ac:dyDescent="0.3">
      <c r="AQ301"/>
      <c r="AS301"/>
      <c r="AW301" s="4"/>
      <c r="AX301" s="4"/>
      <c r="BG301"/>
      <c r="BH301" s="4"/>
    </row>
    <row r="302" spans="4:60" x14ac:dyDescent="0.3">
      <c r="AQ302"/>
      <c r="AS302"/>
      <c r="AW302" s="4"/>
      <c r="AX302" s="4"/>
      <c r="BG302"/>
      <c r="BH302" s="4"/>
    </row>
    <row r="303" spans="4:60" x14ac:dyDescent="0.3">
      <c r="AQ303"/>
      <c r="AS303"/>
      <c r="AW303" s="4"/>
      <c r="AX303" s="4"/>
      <c r="BG303"/>
      <c r="BH303" s="4"/>
    </row>
    <row r="304" spans="4:60" x14ac:dyDescent="0.3">
      <c r="D304" t="s">
        <v>39</v>
      </c>
      <c r="E304">
        <v>32</v>
      </c>
      <c r="AQ304"/>
      <c r="AS304"/>
      <c r="AW304" s="4"/>
      <c r="AX304" s="4"/>
      <c r="BG304"/>
      <c r="BH304" s="4"/>
    </row>
    <row r="305" spans="4:60" x14ac:dyDescent="0.3">
      <c r="D305" t="s">
        <v>42</v>
      </c>
      <c r="AQ305"/>
      <c r="AS305"/>
      <c r="AW305" s="4"/>
      <c r="AX305" s="4"/>
      <c r="BG305"/>
      <c r="BH305" s="4"/>
    </row>
    <row r="306" spans="4:60" x14ac:dyDescent="0.3">
      <c r="D306" t="s">
        <v>44</v>
      </c>
      <c r="AQ306"/>
      <c r="AS306"/>
      <c r="AW306" s="4"/>
      <c r="AX306" s="4"/>
      <c r="BG306"/>
      <c r="BH306" s="4"/>
    </row>
    <row r="307" spans="4:60" x14ac:dyDescent="0.3">
      <c r="AQ307"/>
      <c r="AS307"/>
      <c r="AW307" s="4"/>
      <c r="AX307" s="4"/>
      <c r="BG307"/>
      <c r="BH307" s="4"/>
    </row>
    <row r="308" spans="4:60" x14ac:dyDescent="0.3">
      <c r="AQ308"/>
      <c r="AS308"/>
      <c r="AW308" s="4"/>
      <c r="AX308" s="4"/>
      <c r="BG308"/>
      <c r="BH308" s="4"/>
    </row>
    <row r="309" spans="4:60" x14ac:dyDescent="0.3">
      <c r="AQ309"/>
      <c r="AS309"/>
      <c r="AW309" s="4"/>
      <c r="AX309" s="4"/>
      <c r="BG309"/>
      <c r="BH309" s="4"/>
    </row>
    <row r="310" spans="4:60" x14ac:dyDescent="0.3">
      <c r="D310" t="s">
        <v>39</v>
      </c>
      <c r="E310">
        <v>33</v>
      </c>
      <c r="AQ310"/>
      <c r="AS310"/>
      <c r="AW310" s="4"/>
      <c r="AX310" s="4"/>
      <c r="BG310"/>
      <c r="BH310" s="4"/>
    </row>
    <row r="311" spans="4:60" x14ac:dyDescent="0.3">
      <c r="D311" t="s">
        <v>42</v>
      </c>
      <c r="AQ311"/>
      <c r="AS311"/>
      <c r="AW311" s="4"/>
      <c r="AX311" s="4"/>
      <c r="BG311"/>
      <c r="BH311" s="4"/>
    </row>
    <row r="312" spans="4:60" x14ac:dyDescent="0.3">
      <c r="D312" t="s">
        <v>44</v>
      </c>
      <c r="AQ312"/>
      <c r="AS312"/>
      <c r="AW312" s="4"/>
      <c r="AX312" s="4"/>
      <c r="BG312"/>
      <c r="BH312" s="4"/>
    </row>
    <row r="313" spans="4:60" x14ac:dyDescent="0.3">
      <c r="AQ313"/>
      <c r="AS313"/>
      <c r="AW313" s="4"/>
      <c r="AX313" s="4"/>
      <c r="BG313"/>
      <c r="BH313" s="4"/>
    </row>
    <row r="314" spans="4:60" x14ac:dyDescent="0.3">
      <c r="AQ314"/>
      <c r="AS314"/>
      <c r="AW314" s="4"/>
      <c r="AX314" s="4"/>
      <c r="BG314"/>
      <c r="BH314" s="4"/>
    </row>
    <row r="315" spans="4:60" x14ac:dyDescent="0.3">
      <c r="AQ315"/>
      <c r="AS315"/>
      <c r="AW315" s="4"/>
      <c r="AX315" s="4"/>
      <c r="BG315"/>
      <c r="BH315" s="4"/>
    </row>
    <row r="316" spans="4:60" x14ac:dyDescent="0.3">
      <c r="D316" t="s">
        <v>39</v>
      </c>
      <c r="E316">
        <v>34</v>
      </c>
      <c r="AQ316"/>
      <c r="AS316"/>
      <c r="AW316" s="4"/>
      <c r="AX316" s="4"/>
      <c r="BG316"/>
      <c r="BH316" s="4"/>
    </row>
    <row r="317" spans="4:60" x14ac:dyDescent="0.3">
      <c r="D317" t="s">
        <v>42</v>
      </c>
      <c r="AQ317"/>
      <c r="AS317"/>
      <c r="AW317" s="4"/>
      <c r="AX317" s="4"/>
      <c r="BG317"/>
      <c r="BH317" s="4"/>
    </row>
    <row r="318" spans="4:60" x14ac:dyDescent="0.3">
      <c r="D318" t="s">
        <v>44</v>
      </c>
      <c r="AQ318"/>
      <c r="AS318"/>
      <c r="AW318" s="4"/>
      <c r="AX318" s="4"/>
      <c r="BG318"/>
      <c r="BH318" s="4"/>
    </row>
    <row r="319" spans="4:60" x14ac:dyDescent="0.3">
      <c r="AQ319"/>
      <c r="AS319"/>
      <c r="AW319" s="4"/>
      <c r="AX319" s="4"/>
      <c r="BG319"/>
      <c r="BH319" s="4"/>
    </row>
    <row r="320" spans="4:60" x14ac:dyDescent="0.3">
      <c r="AQ320"/>
      <c r="AS320"/>
      <c r="AW320" s="4"/>
      <c r="AX320" s="4"/>
      <c r="BG320"/>
      <c r="BH320" s="4"/>
    </row>
    <row r="321" spans="43:60" x14ac:dyDescent="0.3">
      <c r="AQ321"/>
      <c r="AS321"/>
      <c r="AW321" s="4"/>
      <c r="AX321" s="4"/>
      <c r="BG321"/>
      <c r="BH321" s="4"/>
    </row>
    <row r="322" spans="43:60" x14ac:dyDescent="0.3">
      <c r="AQ322"/>
      <c r="AS322"/>
      <c r="AW322" s="4"/>
      <c r="AX322" s="4"/>
      <c r="BG322"/>
      <c r="BH322" s="4"/>
    </row>
    <row r="323" spans="43:60" x14ac:dyDescent="0.3">
      <c r="AQ323"/>
      <c r="AS323"/>
      <c r="AW323" s="4"/>
      <c r="AX323" s="4"/>
      <c r="BG323"/>
      <c r="BH323" s="4"/>
    </row>
    <row r="324" spans="43:60" x14ac:dyDescent="0.3">
      <c r="AQ324"/>
      <c r="AS324"/>
      <c r="AW324" s="4"/>
      <c r="AX324" s="4"/>
      <c r="BG324"/>
      <c r="BH324" s="4"/>
    </row>
    <row r="325" spans="43:60" x14ac:dyDescent="0.3">
      <c r="AQ325"/>
      <c r="AS325"/>
      <c r="AW325" s="4"/>
      <c r="AX325" s="4"/>
      <c r="BG325"/>
      <c r="BH325" s="4"/>
    </row>
    <row r="326" spans="43:60" x14ac:dyDescent="0.3">
      <c r="AQ326"/>
      <c r="AS326"/>
      <c r="AW326" s="4"/>
      <c r="AX326" s="4"/>
      <c r="BG326"/>
      <c r="BH326" s="4"/>
    </row>
    <row r="327" spans="43:60" x14ac:dyDescent="0.3">
      <c r="AQ327"/>
      <c r="AS327"/>
      <c r="AW327" s="4"/>
      <c r="AX327" s="4"/>
      <c r="BG327"/>
      <c r="BH327" s="4"/>
    </row>
    <row r="328" spans="43:60" x14ac:dyDescent="0.3">
      <c r="AQ328"/>
      <c r="AS328"/>
      <c r="AW328" s="4"/>
      <c r="AX328" s="4"/>
      <c r="BG328"/>
      <c r="BH328" s="4"/>
    </row>
    <row r="329" spans="43:60" ht="14.4" hidden="1" customHeight="1" x14ac:dyDescent="0.3">
      <c r="AQ329"/>
      <c r="AS329"/>
      <c r="AW329" s="4"/>
      <c r="AX329" s="4"/>
      <c r="BG329"/>
      <c r="BH329" s="4"/>
    </row>
    <row r="330" spans="43:60" ht="14.4" hidden="1" customHeight="1" x14ac:dyDescent="0.3">
      <c r="AQ330"/>
      <c r="AS330"/>
      <c r="AW330" s="4"/>
      <c r="AX330" s="4"/>
      <c r="BG330"/>
      <c r="BH330" s="4"/>
    </row>
    <row r="331" spans="43:60" hidden="1" x14ac:dyDescent="0.3">
      <c r="AQ331"/>
      <c r="AS331"/>
      <c r="AW331" s="4"/>
      <c r="AX331" s="4"/>
      <c r="BG331"/>
      <c r="BH331" s="4"/>
    </row>
    <row r="332" spans="43:60" hidden="1" x14ac:dyDescent="0.3">
      <c r="AQ332"/>
      <c r="AS332"/>
      <c r="AW332" s="4"/>
      <c r="AX332" s="4"/>
      <c r="BG332"/>
      <c r="BH332" s="4"/>
    </row>
    <row r="333" spans="43:60" hidden="1" x14ac:dyDescent="0.3">
      <c r="AQ333"/>
      <c r="AS333"/>
      <c r="AW333" s="4"/>
      <c r="AX333" s="4"/>
      <c r="BG333"/>
      <c r="BH333" s="4"/>
    </row>
    <row r="334" spans="43:60" x14ac:dyDescent="0.3">
      <c r="AQ334"/>
      <c r="AS334"/>
      <c r="AW334" s="4"/>
      <c r="AX334" s="4"/>
      <c r="BG334"/>
      <c r="BH334" s="4"/>
    </row>
    <row r="335" spans="43:60" hidden="1" x14ac:dyDescent="0.3">
      <c r="AQ335"/>
      <c r="AS335"/>
      <c r="AW335" s="4"/>
      <c r="AX335" s="4"/>
      <c r="BG335"/>
      <c r="BH335" s="4"/>
    </row>
    <row r="336" spans="43:60" hidden="1" x14ac:dyDescent="0.3">
      <c r="AQ336"/>
      <c r="AS336"/>
      <c r="AW336" s="4"/>
      <c r="AX336" s="4"/>
      <c r="BG336"/>
      <c r="BH336" s="4"/>
    </row>
    <row r="337" spans="34:60" hidden="1" x14ac:dyDescent="0.3">
      <c r="AQ337"/>
      <c r="AS337"/>
      <c r="AW337" s="4"/>
      <c r="AX337" s="4"/>
      <c r="BG337"/>
      <c r="BH337" s="4"/>
    </row>
    <row r="338" spans="34:60" hidden="1" x14ac:dyDescent="0.3">
      <c r="AK338" t="s">
        <v>35</v>
      </c>
      <c r="AQ338"/>
      <c r="AS338"/>
      <c r="AW338" s="4"/>
      <c r="AX338" s="4"/>
      <c r="BG338"/>
      <c r="BH338" s="4"/>
    </row>
    <row r="339" spans="34:60" hidden="1" x14ac:dyDescent="0.3">
      <c r="AQ339"/>
      <c r="AS339"/>
      <c r="AW339" s="4"/>
      <c r="AX339" s="4"/>
      <c r="BG339"/>
      <c r="BH339" s="4"/>
    </row>
    <row r="340" spans="34:60" x14ac:dyDescent="0.3">
      <c r="AQ340"/>
      <c r="AS340"/>
      <c r="AW340" s="4"/>
      <c r="AX340" s="4"/>
      <c r="BG340"/>
      <c r="BH340" s="4"/>
    </row>
    <row r="341" spans="34:60" hidden="1" x14ac:dyDescent="0.3">
      <c r="AQ341"/>
      <c r="AS341"/>
      <c r="AW341" s="4"/>
      <c r="AX341" s="4"/>
      <c r="BG341"/>
      <c r="BH341" s="4"/>
    </row>
    <row r="342" spans="34:60" hidden="1" x14ac:dyDescent="0.3">
      <c r="AQ342"/>
      <c r="AS342"/>
      <c r="AW342" s="4"/>
      <c r="AX342" s="4"/>
      <c r="BG342"/>
      <c r="BH342" s="4"/>
    </row>
    <row r="343" spans="34:60" hidden="1" x14ac:dyDescent="0.3">
      <c r="AQ343"/>
      <c r="AS343"/>
      <c r="AW343" s="4"/>
      <c r="AX343" s="4"/>
      <c r="BG343"/>
      <c r="BH343" s="4"/>
    </row>
    <row r="344" spans="34:60" hidden="1" x14ac:dyDescent="0.3">
      <c r="AH344" t="s">
        <v>34</v>
      </c>
      <c r="AQ344"/>
      <c r="AS344"/>
      <c r="AW344" s="4"/>
      <c r="AX344" s="4"/>
      <c r="BG344"/>
      <c r="BH344" s="4"/>
    </row>
    <row r="345" spans="34:60" hidden="1" x14ac:dyDescent="0.3">
      <c r="AQ345"/>
      <c r="AS345"/>
      <c r="AW345" s="4"/>
      <c r="AX345" s="4"/>
      <c r="BG345"/>
      <c r="BH345" s="4"/>
    </row>
    <row r="346" spans="34:60" x14ac:dyDescent="0.3">
      <c r="AQ346"/>
      <c r="AS346"/>
      <c r="AW346" s="4"/>
      <c r="AX346" s="4"/>
      <c r="BG346"/>
      <c r="BH346" s="4"/>
    </row>
    <row r="347" spans="34:60" hidden="1" x14ac:dyDescent="0.3">
      <c r="AQ347"/>
      <c r="AS347"/>
      <c r="AW347" s="4"/>
      <c r="AX347" s="4"/>
      <c r="BG347"/>
      <c r="BH347" s="4"/>
    </row>
    <row r="348" spans="34:60" hidden="1" x14ac:dyDescent="0.3">
      <c r="AQ348"/>
      <c r="AS348"/>
      <c r="AW348" s="4"/>
      <c r="AX348" s="4"/>
      <c r="BG348"/>
      <c r="BH348" s="4"/>
    </row>
    <row r="349" spans="34:60" hidden="1" x14ac:dyDescent="0.3">
      <c r="AQ349"/>
      <c r="AS349"/>
      <c r="AW349" s="4"/>
      <c r="AX349" s="4"/>
      <c r="BG349"/>
      <c r="BH349" s="4"/>
    </row>
    <row r="350" spans="34:60" hidden="1" x14ac:dyDescent="0.3">
      <c r="AK350" t="s">
        <v>35</v>
      </c>
      <c r="AQ350"/>
      <c r="AS350"/>
      <c r="AW350" s="4"/>
      <c r="AX350" s="4"/>
      <c r="BG350"/>
      <c r="BH350" s="4"/>
    </row>
    <row r="351" spans="34:60" hidden="1" x14ac:dyDescent="0.3">
      <c r="AQ351"/>
      <c r="AS351"/>
      <c r="AW351" s="4"/>
      <c r="AX351" s="4"/>
      <c r="BG351"/>
      <c r="BH351" s="4"/>
    </row>
    <row r="352" spans="34:60" hidden="1" x14ac:dyDescent="0.3">
      <c r="AQ352"/>
      <c r="AS352"/>
      <c r="AW352" s="4"/>
      <c r="AX352" s="4"/>
      <c r="BG352"/>
      <c r="BH352" s="4"/>
    </row>
    <row r="353" spans="37:60" hidden="1" x14ac:dyDescent="0.3">
      <c r="AQ353"/>
      <c r="AS353"/>
      <c r="AW353" s="4"/>
      <c r="AX353" s="4"/>
      <c r="BG353"/>
      <c r="BH353" s="4"/>
    </row>
    <row r="354" spans="37:60" hidden="1" x14ac:dyDescent="0.3">
      <c r="AQ354"/>
      <c r="AS354"/>
      <c r="AW354" s="4"/>
      <c r="AX354" s="4"/>
      <c r="BG354"/>
      <c r="BH354" s="4"/>
    </row>
    <row r="355" spans="37:60" hidden="1" x14ac:dyDescent="0.3">
      <c r="AQ355"/>
      <c r="AS355"/>
      <c r="AW355" s="4"/>
      <c r="AX355" s="4"/>
      <c r="BG355"/>
      <c r="BH355" s="4"/>
    </row>
    <row r="356" spans="37:60" hidden="1" x14ac:dyDescent="0.3">
      <c r="AK356" t="s">
        <v>35</v>
      </c>
      <c r="AQ356"/>
      <c r="AS356"/>
      <c r="AW356" s="4"/>
      <c r="AX356" s="4"/>
      <c r="BG356"/>
      <c r="BH356" s="4"/>
    </row>
    <row r="357" spans="37:60" hidden="1" x14ac:dyDescent="0.3">
      <c r="AQ357"/>
      <c r="AS357"/>
      <c r="AW357" s="4"/>
      <c r="AX357" s="4"/>
      <c r="BG357"/>
      <c r="BH357" s="4"/>
    </row>
    <row r="358" spans="37:60" x14ac:dyDescent="0.3">
      <c r="AQ358"/>
      <c r="AS358"/>
      <c r="AW358" s="4"/>
      <c r="AX358" s="4"/>
      <c r="BG358"/>
      <c r="BH358" s="4"/>
    </row>
    <row r="359" spans="37:60" hidden="1" x14ac:dyDescent="0.3">
      <c r="AQ359"/>
      <c r="AS359"/>
      <c r="AW359" s="4"/>
      <c r="AX359" s="4"/>
      <c r="BG359"/>
      <c r="BH359" s="4"/>
    </row>
    <row r="360" spans="37:60" hidden="1" x14ac:dyDescent="0.3">
      <c r="AQ360"/>
      <c r="AS360"/>
      <c r="AW360" s="4"/>
      <c r="AX360" s="4"/>
      <c r="BG360"/>
      <c r="BH360" s="4"/>
    </row>
    <row r="361" spans="37:60" hidden="1" x14ac:dyDescent="0.3">
      <c r="AQ361"/>
      <c r="AS361"/>
      <c r="AW361" s="4"/>
      <c r="AX361" s="4"/>
      <c r="BG361"/>
      <c r="BH361" s="4"/>
    </row>
    <row r="362" spans="37:60" hidden="1" x14ac:dyDescent="0.3">
      <c r="AK362" t="s">
        <v>35</v>
      </c>
      <c r="AQ362"/>
      <c r="AS362"/>
      <c r="AW362" s="4"/>
      <c r="AX362" s="4"/>
      <c r="BG362"/>
      <c r="BH362" s="4"/>
    </row>
    <row r="363" spans="37:60" hidden="1" x14ac:dyDescent="0.3">
      <c r="AQ363"/>
      <c r="AS363"/>
      <c r="AW363" s="4"/>
      <c r="AX363" s="4"/>
      <c r="BG363"/>
      <c r="BH363" s="4"/>
    </row>
    <row r="364" spans="37:60" x14ac:dyDescent="0.3">
      <c r="AQ364"/>
      <c r="AS364"/>
      <c r="AW364" s="4"/>
      <c r="AX364" s="4"/>
      <c r="BG364"/>
      <c r="BH364" s="4"/>
    </row>
    <row r="365" spans="37:60" hidden="1" x14ac:dyDescent="0.3">
      <c r="AQ365"/>
      <c r="AS365"/>
      <c r="AW365" s="4"/>
      <c r="AX365" s="4"/>
      <c r="BG365"/>
      <c r="BH365" s="4"/>
    </row>
    <row r="366" spans="37:60" hidden="1" x14ac:dyDescent="0.3">
      <c r="AQ366"/>
      <c r="AS366"/>
      <c r="AW366" s="4"/>
      <c r="AX366" s="4"/>
      <c r="BG366"/>
      <c r="BH366" s="4"/>
    </row>
    <row r="367" spans="37:60" hidden="1" x14ac:dyDescent="0.3">
      <c r="AQ367"/>
      <c r="AS367"/>
      <c r="AW367" s="4"/>
      <c r="AX367" s="4"/>
      <c r="BG367"/>
      <c r="BH367" s="4"/>
    </row>
    <row r="368" spans="37:60" hidden="1" x14ac:dyDescent="0.3">
      <c r="AK368" t="s">
        <v>35</v>
      </c>
      <c r="AQ368"/>
      <c r="AS368"/>
      <c r="AW368" s="4"/>
      <c r="AX368" s="4"/>
      <c r="BG368"/>
      <c r="BH368" s="4"/>
    </row>
    <row r="369" spans="34:60" hidden="1" x14ac:dyDescent="0.3">
      <c r="AQ369"/>
      <c r="AS369"/>
      <c r="AW369" s="4"/>
      <c r="AX369" s="4"/>
      <c r="BG369"/>
      <c r="BH369" s="4"/>
    </row>
    <row r="370" spans="34:60" hidden="1" x14ac:dyDescent="0.3">
      <c r="AQ370"/>
      <c r="AS370"/>
      <c r="AW370" s="4"/>
      <c r="AX370" s="4"/>
      <c r="BG370"/>
      <c r="BH370" s="4"/>
    </row>
    <row r="371" spans="34:60" hidden="1" x14ac:dyDescent="0.3">
      <c r="AQ371"/>
      <c r="AS371"/>
      <c r="AW371" s="4"/>
      <c r="AX371" s="4"/>
      <c r="BG371"/>
      <c r="BH371" s="4"/>
    </row>
    <row r="372" spans="34:60" hidden="1" x14ac:dyDescent="0.3">
      <c r="AQ372"/>
      <c r="AS372"/>
      <c r="AW372" s="4"/>
      <c r="AX372" s="4"/>
      <c r="BG372"/>
      <c r="BH372" s="4"/>
    </row>
    <row r="373" spans="34:60" hidden="1" x14ac:dyDescent="0.3">
      <c r="AQ373"/>
      <c r="AS373"/>
      <c r="AW373" s="4"/>
      <c r="AX373" s="4"/>
      <c r="BG373"/>
      <c r="BH373" s="4"/>
    </row>
    <row r="374" spans="34:60" hidden="1" x14ac:dyDescent="0.3">
      <c r="AH374" t="s">
        <v>34</v>
      </c>
      <c r="AQ374"/>
      <c r="AS374"/>
      <c r="AW374" s="4"/>
      <c r="AX374" s="4"/>
      <c r="BG374"/>
      <c r="BH374" s="4"/>
    </row>
    <row r="375" spans="34:60" hidden="1" x14ac:dyDescent="0.3">
      <c r="AQ375"/>
      <c r="AS375"/>
      <c r="AW375" s="4"/>
      <c r="AX375" s="4"/>
      <c r="BG375"/>
      <c r="BH375" s="4"/>
    </row>
    <row r="376" spans="34:60" x14ac:dyDescent="0.3">
      <c r="AQ376"/>
      <c r="AS376"/>
      <c r="AW376" s="4"/>
      <c r="AX376" s="4"/>
      <c r="BG376"/>
      <c r="BH376" s="4"/>
    </row>
    <row r="377" spans="34:60" hidden="1" x14ac:dyDescent="0.3">
      <c r="AQ377"/>
      <c r="AS377"/>
      <c r="AW377" s="4"/>
      <c r="AX377" s="4"/>
      <c r="BG377"/>
      <c r="BH377" s="4"/>
    </row>
    <row r="378" spans="34:60" hidden="1" x14ac:dyDescent="0.3">
      <c r="AQ378"/>
      <c r="AS378"/>
      <c r="AW378" s="4"/>
      <c r="AX378" s="4"/>
      <c r="BG378"/>
      <c r="BH378" s="4"/>
    </row>
    <row r="379" spans="34:60" hidden="1" x14ac:dyDescent="0.3">
      <c r="AQ379"/>
      <c r="AS379"/>
      <c r="AW379" s="4"/>
      <c r="AX379" s="4"/>
      <c r="BG379"/>
      <c r="BH379" s="4"/>
    </row>
    <row r="380" spans="34:60" hidden="1" x14ac:dyDescent="0.3">
      <c r="AK380" t="s">
        <v>35</v>
      </c>
      <c r="AQ380"/>
      <c r="AS380"/>
      <c r="AW380" s="4"/>
      <c r="AX380" s="4"/>
      <c r="BG380"/>
      <c r="BH380" s="4"/>
    </row>
    <row r="381" spans="34:60" hidden="1" x14ac:dyDescent="0.3">
      <c r="AQ381"/>
      <c r="AS381"/>
      <c r="AW381" s="4"/>
      <c r="AX381" s="4"/>
      <c r="BG381"/>
      <c r="BH381" s="4"/>
    </row>
    <row r="382" spans="34:60" x14ac:dyDescent="0.3">
      <c r="AQ382"/>
      <c r="AS382"/>
      <c r="AW382" s="4"/>
      <c r="AX382" s="4"/>
      <c r="BG382"/>
      <c r="BH382" s="4"/>
    </row>
    <row r="383" spans="34:60" hidden="1" x14ac:dyDescent="0.3">
      <c r="AQ383"/>
      <c r="AS383"/>
      <c r="AW383" s="4"/>
      <c r="AX383" s="4"/>
      <c r="BG383"/>
      <c r="BH383" s="4"/>
    </row>
    <row r="384" spans="34:60" hidden="1" x14ac:dyDescent="0.3">
      <c r="AQ384"/>
      <c r="AS384"/>
      <c r="AW384" s="4"/>
      <c r="AX384" s="4"/>
      <c r="BG384"/>
      <c r="BH384" s="4"/>
    </row>
    <row r="385" spans="2:60" hidden="1" x14ac:dyDescent="0.3">
      <c r="B385" t="s">
        <v>40</v>
      </c>
      <c r="AQ385"/>
      <c r="AS385"/>
      <c r="AW385" s="4"/>
      <c r="AX385" s="4"/>
      <c r="BG385"/>
      <c r="BH385" s="4"/>
    </row>
    <row r="386" spans="2:60" hidden="1" x14ac:dyDescent="0.3">
      <c r="B386" t="s">
        <v>41</v>
      </c>
      <c r="AK386" t="s">
        <v>35</v>
      </c>
      <c r="AQ386"/>
      <c r="AS386"/>
      <c r="AW386" s="4"/>
      <c r="AX386" s="4"/>
      <c r="BG386"/>
      <c r="BH386" s="4"/>
    </row>
    <row r="387" spans="2:60" x14ac:dyDescent="0.3">
      <c r="AQ387"/>
      <c r="AS387"/>
      <c r="AW387" s="4"/>
      <c r="AX387" s="4"/>
      <c r="BG387"/>
      <c r="BH387" s="4"/>
    </row>
    <row r="388" spans="2:60" hidden="1" x14ac:dyDescent="0.3">
      <c r="B388" t="s">
        <v>33</v>
      </c>
      <c r="AQ388"/>
      <c r="AS388"/>
      <c r="AW388" s="4"/>
      <c r="AX388" s="4"/>
      <c r="BG388"/>
      <c r="BH388" s="4"/>
    </row>
    <row r="389" spans="2:60" hidden="1" x14ac:dyDescent="0.3">
      <c r="AQ389"/>
      <c r="AS389"/>
      <c r="AW389" s="4"/>
      <c r="AX389" s="4"/>
      <c r="BG389"/>
      <c r="BH389" s="4"/>
    </row>
    <row r="390" spans="2:60" hidden="1" x14ac:dyDescent="0.3">
      <c r="AQ390"/>
      <c r="AS390"/>
      <c r="AW390" s="4"/>
      <c r="AX390" s="4"/>
      <c r="BG390"/>
      <c r="BH390" s="4"/>
    </row>
    <row r="391" spans="2:60" hidden="1" x14ac:dyDescent="0.3">
      <c r="AQ391"/>
      <c r="AS391"/>
      <c r="AW391" s="4"/>
      <c r="AX391" s="4"/>
      <c r="BG391"/>
      <c r="BH391" s="4"/>
    </row>
    <row r="392" spans="2:60" hidden="1" x14ac:dyDescent="0.3">
      <c r="AH392" t="s">
        <v>34</v>
      </c>
      <c r="AQ392"/>
      <c r="AS392"/>
      <c r="AW392" s="4"/>
      <c r="AX392" s="4"/>
      <c r="BG392"/>
      <c r="BH392" s="4"/>
    </row>
    <row r="393" spans="2:60" hidden="1" x14ac:dyDescent="0.3">
      <c r="AQ393"/>
      <c r="AS393"/>
      <c r="AW393" s="4"/>
      <c r="AX393" s="4"/>
      <c r="BG393"/>
      <c r="BH393" s="4"/>
    </row>
    <row r="394" spans="2:60" hidden="1" x14ac:dyDescent="0.3">
      <c r="AQ394"/>
      <c r="AS394"/>
      <c r="AW394" s="4"/>
      <c r="AX394" s="4"/>
      <c r="BG394"/>
      <c r="BH394" s="4"/>
    </row>
    <row r="395" spans="2:60" hidden="1" x14ac:dyDescent="0.3">
      <c r="AQ395"/>
      <c r="AS395"/>
      <c r="AW395" s="4"/>
      <c r="AX395" s="4"/>
      <c r="BG395"/>
      <c r="BH395" s="4"/>
    </row>
    <row r="396" spans="2:60" hidden="1" x14ac:dyDescent="0.3">
      <c r="AQ396"/>
      <c r="AS396"/>
      <c r="AW396" s="4"/>
      <c r="AX396" s="4"/>
      <c r="BG396"/>
      <c r="BH396" s="4"/>
    </row>
    <row r="397" spans="2:60" hidden="1" x14ac:dyDescent="0.3">
      <c r="AQ397"/>
      <c r="AS397"/>
      <c r="AW397" s="4"/>
      <c r="AX397" s="4"/>
      <c r="BG397"/>
      <c r="BH397" s="4"/>
    </row>
    <row r="398" spans="2:60" hidden="1" x14ac:dyDescent="0.3">
      <c r="AH398" t="s">
        <v>34</v>
      </c>
      <c r="AQ398"/>
      <c r="AS398"/>
      <c r="AW398" s="4"/>
      <c r="AX398" s="4"/>
      <c r="BG398"/>
      <c r="BH398" s="4"/>
    </row>
    <row r="399" spans="2:60" hidden="1" x14ac:dyDescent="0.3">
      <c r="AQ399"/>
      <c r="AR399" s="4"/>
      <c r="AS399"/>
      <c r="AW399" s="4"/>
      <c r="AY399"/>
      <c r="BH399" s="4"/>
    </row>
    <row r="400" spans="2:60" hidden="1" x14ac:dyDescent="0.3">
      <c r="AQ400"/>
      <c r="AR400" s="4"/>
      <c r="AS400"/>
      <c r="AW400" s="4"/>
      <c r="AY400"/>
      <c r="BH400" s="4"/>
    </row>
  </sheetData>
  <sortState xmlns:xlrd2="http://schemas.microsoft.com/office/spreadsheetml/2017/richdata2" columnSort="1" ref="J1:BG400">
    <sortCondition descending="1" sortBy="cellColor" ref="J1:BG1" dxfId="3"/>
    <sortCondition ref="J2:BG2"/>
  </sortState>
  <phoneticPr fontId="3" type="noConversion"/>
  <conditionalFormatting sqref="I5:BB5">
    <cfRule type="duplicateValues" dxfId="2" priority="3"/>
  </conditionalFormatting>
  <conditionalFormatting sqref="BG5">
    <cfRule type="duplicateValues" dxfId="1" priority="2"/>
  </conditionalFormatting>
  <conditionalFormatting sqref="BH5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8ABCA-26E5-40CB-A4E0-EF651483F4E0}">
  <sheetPr codeName="Sheet4"/>
  <dimension ref="B1:Y18"/>
  <sheetViews>
    <sheetView workbookViewId="0">
      <selection sqref="A1:A1048576"/>
    </sheetView>
  </sheetViews>
  <sheetFormatPr defaultRowHeight="14.4" x14ac:dyDescent="0.3"/>
  <cols>
    <col min="2" max="2" width="11" bestFit="1" customWidth="1"/>
    <col min="6" max="9" width="8.88671875" customWidth="1"/>
    <col min="10" max="10" width="9.44140625" customWidth="1"/>
    <col min="11" max="12" width="8.88671875" customWidth="1"/>
    <col min="13" max="13" width="8.77734375" customWidth="1"/>
    <col min="18" max="25" width="0" hidden="1" customWidth="1"/>
  </cols>
  <sheetData>
    <row r="1" spans="2:25" x14ac:dyDescent="0.3">
      <c r="B1">
        <v>1</v>
      </c>
      <c r="C1">
        <v>2</v>
      </c>
      <c r="D1">
        <v>3</v>
      </c>
      <c r="T1">
        <v>16</v>
      </c>
      <c r="U1">
        <v>14</v>
      </c>
    </row>
    <row r="2" spans="2:25" x14ac:dyDescent="0.3">
      <c r="B2" t="s">
        <v>36</v>
      </c>
      <c r="C2" t="s">
        <v>149</v>
      </c>
      <c r="D2" t="s">
        <v>150</v>
      </c>
      <c r="R2" t="s">
        <v>149</v>
      </c>
      <c r="S2" t="s">
        <v>150</v>
      </c>
      <c r="T2" t="s">
        <v>149</v>
      </c>
      <c r="U2" t="s">
        <v>150</v>
      </c>
      <c r="V2" t="s">
        <v>204</v>
      </c>
      <c r="W2" t="s">
        <v>205</v>
      </c>
    </row>
    <row r="3" spans="2:25" x14ac:dyDescent="0.3">
      <c r="B3">
        <v>48</v>
      </c>
      <c r="C3">
        <v>51.1953125</v>
      </c>
      <c r="D3">
        <v>43.1953125</v>
      </c>
      <c r="S3">
        <f>X3</f>
        <v>51.800000000000004</v>
      </c>
      <c r="T3">
        <f>C3</f>
        <v>51.1953125</v>
      </c>
      <c r="U3">
        <f>D3</f>
        <v>43.1953125</v>
      </c>
      <c r="V3">
        <f>T3/T1</f>
        <v>3.19970703125</v>
      </c>
      <c r="W3">
        <v>3.7</v>
      </c>
      <c r="X3">
        <f t="shared" ref="X3:X18" si="0">$U$1*W3</f>
        <v>51.800000000000004</v>
      </c>
      <c r="Y3" t="s">
        <v>1</v>
      </c>
    </row>
    <row r="4" spans="2:25" x14ac:dyDescent="0.3">
      <c r="B4">
        <v>18</v>
      </c>
      <c r="C4">
        <v>41</v>
      </c>
      <c r="D4">
        <v>36</v>
      </c>
      <c r="T4">
        <f>C4/$B$3*C$3</f>
        <v>43.729329427083329</v>
      </c>
      <c r="U4">
        <f>D4/$B$3*D$3</f>
        <v>32.396484375</v>
      </c>
      <c r="V4">
        <f t="shared" ref="V4:V18" si="1">T4/16</f>
        <v>2.733083089192708</v>
      </c>
      <c r="W4">
        <v>2.6999999999999975</v>
      </c>
      <c r="X4">
        <f t="shared" si="0"/>
        <v>37.799999999999969</v>
      </c>
      <c r="Y4" t="s">
        <v>45</v>
      </c>
    </row>
    <row r="5" spans="2:25" x14ac:dyDescent="0.3">
      <c r="B5">
        <v>1.1875</v>
      </c>
      <c r="C5">
        <v>1.0859375</v>
      </c>
      <c r="D5">
        <v>1.1640625</v>
      </c>
      <c r="T5">
        <f>C5*C$3</f>
        <v>55.59490966796875</v>
      </c>
      <c r="U5">
        <f>D5*D$3</f>
        <v>50.28204345703125</v>
      </c>
      <c r="V5">
        <f t="shared" si="1"/>
        <v>3.4746818542480469</v>
      </c>
      <c r="W5">
        <v>4.1999999999999993</v>
      </c>
      <c r="X5">
        <f t="shared" si="0"/>
        <v>58.79999999999999</v>
      </c>
      <c r="Y5" t="s">
        <v>12</v>
      </c>
    </row>
    <row r="6" spans="2:25" x14ac:dyDescent="0.3">
      <c r="B6">
        <v>38</v>
      </c>
      <c r="C6">
        <v>42</v>
      </c>
      <c r="D6">
        <v>40</v>
      </c>
      <c r="T6">
        <f t="shared" ref="T6:T16" si="2">C6/$B$3*C$3</f>
        <v>44.7958984375</v>
      </c>
      <c r="U6">
        <f t="shared" ref="U6:U16" si="3">D6/$B$3*D$3</f>
        <v>35.99609375</v>
      </c>
      <c r="V6">
        <f t="shared" si="1"/>
        <v>2.79974365234375</v>
      </c>
      <c r="W6">
        <v>2.9999999999999996</v>
      </c>
      <c r="X6">
        <f t="shared" si="0"/>
        <v>41.999999999999993</v>
      </c>
      <c r="Y6" t="s">
        <v>13</v>
      </c>
    </row>
    <row r="7" spans="2:25" x14ac:dyDescent="0.3">
      <c r="B7">
        <v>48.09375</v>
      </c>
      <c r="C7">
        <v>45</v>
      </c>
      <c r="D7">
        <v>41.3359375</v>
      </c>
      <c r="T7">
        <f t="shared" si="2"/>
        <v>47.99560546875</v>
      </c>
      <c r="U7">
        <f t="shared" si="3"/>
        <v>37.198307037353516</v>
      </c>
      <c r="V7">
        <f t="shared" si="1"/>
        <v>2.999725341796875</v>
      </c>
      <c r="W7">
        <v>3.1000000000000014</v>
      </c>
      <c r="X7">
        <f t="shared" si="0"/>
        <v>43.40000000000002</v>
      </c>
      <c r="Y7" t="s">
        <v>0</v>
      </c>
    </row>
    <row r="8" spans="2:25" x14ac:dyDescent="0.3">
      <c r="B8">
        <v>47.1953125</v>
      </c>
      <c r="C8">
        <v>44.7421875</v>
      </c>
      <c r="D8">
        <v>41.3359375</v>
      </c>
      <c r="T8">
        <f t="shared" si="2"/>
        <v>47.720630645751953</v>
      </c>
      <c r="U8">
        <f t="shared" si="3"/>
        <v>37.198307037353516</v>
      </c>
      <c r="V8">
        <f t="shared" si="1"/>
        <v>2.9825394153594971</v>
      </c>
      <c r="W8">
        <v>3.1000000000000014</v>
      </c>
      <c r="X8">
        <f t="shared" si="0"/>
        <v>43.40000000000002</v>
      </c>
      <c r="Y8" t="s">
        <v>2</v>
      </c>
    </row>
    <row r="9" spans="2:25" x14ac:dyDescent="0.3">
      <c r="B9">
        <v>45.5703125</v>
      </c>
      <c r="C9">
        <v>44.2421875</v>
      </c>
      <c r="D9">
        <v>41.3359375</v>
      </c>
      <c r="T9">
        <f t="shared" si="2"/>
        <v>47.187346140543625</v>
      </c>
      <c r="U9">
        <f t="shared" si="3"/>
        <v>37.198307037353516</v>
      </c>
      <c r="V9">
        <f t="shared" si="1"/>
        <v>2.9492091337839765</v>
      </c>
      <c r="W9">
        <v>3.1000000000000014</v>
      </c>
      <c r="X9">
        <f t="shared" si="0"/>
        <v>43.40000000000002</v>
      </c>
      <c r="Y9" t="s">
        <v>3</v>
      </c>
    </row>
    <row r="10" spans="2:25" x14ac:dyDescent="0.3">
      <c r="B10">
        <v>43.1953125</v>
      </c>
      <c r="C10">
        <v>43.484375</v>
      </c>
      <c r="D10">
        <v>41.3359375</v>
      </c>
      <c r="T10">
        <f t="shared" si="2"/>
        <v>46.379086812337235</v>
      </c>
      <c r="U10">
        <f t="shared" si="3"/>
        <v>37.198307037353516</v>
      </c>
      <c r="V10">
        <f t="shared" si="1"/>
        <v>2.8986929257710772</v>
      </c>
      <c r="W10">
        <v>3.1000000000000014</v>
      </c>
      <c r="X10">
        <f t="shared" si="0"/>
        <v>43.40000000000002</v>
      </c>
      <c r="Y10" t="s">
        <v>4</v>
      </c>
    </row>
    <row r="11" spans="2:25" x14ac:dyDescent="0.3">
      <c r="B11">
        <v>40.6953125</v>
      </c>
      <c r="C11">
        <v>42.7265625</v>
      </c>
      <c r="D11">
        <v>41.3359375</v>
      </c>
      <c r="T11">
        <f t="shared" si="2"/>
        <v>45.570827484130859</v>
      </c>
      <c r="U11">
        <f t="shared" si="3"/>
        <v>37.198307037353516</v>
      </c>
      <c r="V11">
        <f t="shared" si="1"/>
        <v>2.8481767177581787</v>
      </c>
      <c r="W11">
        <v>3.1000000000000014</v>
      </c>
      <c r="X11">
        <f t="shared" si="0"/>
        <v>43.40000000000002</v>
      </c>
      <c r="Y11" t="s">
        <v>5</v>
      </c>
    </row>
    <row r="12" spans="2:25" x14ac:dyDescent="0.3">
      <c r="B12">
        <v>47</v>
      </c>
      <c r="C12">
        <v>43.499999999999993</v>
      </c>
      <c r="D12">
        <v>40</v>
      </c>
      <c r="T12">
        <f t="shared" si="2"/>
        <v>46.395751953124993</v>
      </c>
      <c r="U12">
        <f t="shared" si="3"/>
        <v>35.99609375</v>
      </c>
      <c r="V12">
        <f t="shared" si="1"/>
        <v>2.8997344970703121</v>
      </c>
      <c r="W12">
        <v>3.0000000000000004</v>
      </c>
      <c r="X12">
        <f t="shared" si="0"/>
        <v>42.000000000000007</v>
      </c>
      <c r="Y12" t="s">
        <v>6</v>
      </c>
    </row>
    <row r="13" spans="2:25" x14ac:dyDescent="0.3">
      <c r="B13">
        <v>45.9140625</v>
      </c>
      <c r="C13">
        <v>43.2421875</v>
      </c>
      <c r="D13">
        <v>40</v>
      </c>
      <c r="T13">
        <f t="shared" si="2"/>
        <v>46.120777130126953</v>
      </c>
      <c r="U13">
        <f t="shared" si="3"/>
        <v>35.99609375</v>
      </c>
      <c r="V13">
        <f t="shared" si="1"/>
        <v>2.8825485706329346</v>
      </c>
      <c r="W13">
        <v>3.0000000000000004</v>
      </c>
      <c r="X13">
        <f t="shared" si="0"/>
        <v>42.000000000000007</v>
      </c>
      <c r="Y13" t="s">
        <v>7</v>
      </c>
    </row>
    <row r="14" spans="2:25" x14ac:dyDescent="0.3">
      <c r="B14">
        <v>44</v>
      </c>
      <c r="C14">
        <v>42.7421875</v>
      </c>
      <c r="D14">
        <v>40</v>
      </c>
      <c r="T14">
        <f t="shared" si="2"/>
        <v>45.587492624918625</v>
      </c>
      <c r="U14">
        <f t="shared" si="3"/>
        <v>35.99609375</v>
      </c>
      <c r="V14">
        <f t="shared" si="1"/>
        <v>2.849218289057414</v>
      </c>
      <c r="W14">
        <v>3.0000000000000004</v>
      </c>
      <c r="X14">
        <f t="shared" si="0"/>
        <v>42.000000000000007</v>
      </c>
      <c r="Y14" t="s">
        <v>8</v>
      </c>
    </row>
    <row r="15" spans="2:25" x14ac:dyDescent="0.3">
      <c r="B15">
        <v>41</v>
      </c>
      <c r="C15">
        <v>41.984375</v>
      </c>
      <c r="D15">
        <v>40</v>
      </c>
      <c r="T15">
        <f t="shared" si="2"/>
        <v>44.779233296712235</v>
      </c>
      <c r="U15">
        <f t="shared" si="3"/>
        <v>35.99609375</v>
      </c>
      <c r="V15">
        <f t="shared" si="1"/>
        <v>2.7987020810445147</v>
      </c>
      <c r="W15">
        <v>3.0000000000000004</v>
      </c>
      <c r="X15">
        <f t="shared" si="0"/>
        <v>42.000000000000007</v>
      </c>
      <c r="Y15" t="s">
        <v>9</v>
      </c>
    </row>
    <row r="16" spans="2:25" x14ac:dyDescent="0.3">
      <c r="B16">
        <v>38</v>
      </c>
      <c r="C16">
        <v>41.2265625</v>
      </c>
      <c r="D16">
        <v>40</v>
      </c>
      <c r="T16">
        <f t="shared" si="2"/>
        <v>43.970973968505859</v>
      </c>
      <c r="U16">
        <f t="shared" si="3"/>
        <v>35.99609375</v>
      </c>
      <c r="V16">
        <f t="shared" si="1"/>
        <v>2.7481858730316162</v>
      </c>
      <c r="W16">
        <v>3.0000000000000004</v>
      </c>
      <c r="X16">
        <f t="shared" si="0"/>
        <v>42.000000000000007</v>
      </c>
      <c r="Y16" t="s">
        <v>10</v>
      </c>
    </row>
    <row r="17" spans="2:25" x14ac:dyDescent="0.3">
      <c r="B17">
        <v>1.1875</v>
      </c>
      <c r="C17">
        <v>1.109375</v>
      </c>
      <c r="D17">
        <v>1.1796875</v>
      </c>
      <c r="T17">
        <f>C17*C$3</f>
        <v>56.7947998046875</v>
      </c>
      <c r="U17">
        <f>D17*D$3</f>
        <v>50.95697021484375</v>
      </c>
      <c r="V17">
        <f t="shared" si="1"/>
        <v>3.5496749877929688</v>
      </c>
      <c r="W17">
        <v>4.25</v>
      </c>
      <c r="X17">
        <f t="shared" si="0"/>
        <v>59.5</v>
      </c>
      <c r="Y17" t="s">
        <v>20</v>
      </c>
    </row>
    <row r="18" spans="2:25" x14ac:dyDescent="0.3">
      <c r="B18">
        <v>1.265625</v>
      </c>
      <c r="C18">
        <v>1.1484375</v>
      </c>
      <c r="D18">
        <v>1.1875</v>
      </c>
      <c r="T18">
        <f>C18*C$3</f>
        <v>58.79461669921875</v>
      </c>
      <c r="U18">
        <f>D18*D$3</f>
        <v>51.29443359375</v>
      </c>
      <c r="V18">
        <f t="shared" si="1"/>
        <v>3.6746635437011719</v>
      </c>
      <c r="W18">
        <v>4.3</v>
      </c>
      <c r="X18">
        <f t="shared" si="0"/>
        <v>60.199999999999996</v>
      </c>
      <c r="Y18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6EF26-77F3-4A4A-A3C3-9B904B90C917}">
  <sheetPr codeName="Sheet3"/>
  <dimension ref="F3:H26"/>
  <sheetViews>
    <sheetView workbookViewId="0">
      <selection activeCell="H8" sqref="H8"/>
    </sheetView>
  </sheetViews>
  <sheetFormatPr defaultRowHeight="14.4" x14ac:dyDescent="0.3"/>
  <cols>
    <col min="6" max="6" width="42.6640625" bestFit="1" customWidth="1"/>
    <col min="7" max="7" width="11.33203125" bestFit="1" customWidth="1"/>
  </cols>
  <sheetData>
    <row r="3" spans="6:8" x14ac:dyDescent="0.3">
      <c r="F3" t="s">
        <v>61</v>
      </c>
      <c r="G3" t="s">
        <v>56</v>
      </c>
    </row>
    <row r="4" spans="6:8" x14ac:dyDescent="0.3">
      <c r="F4" t="s">
        <v>46</v>
      </c>
      <c r="G4" t="s">
        <v>55</v>
      </c>
    </row>
    <row r="5" spans="6:8" x14ac:dyDescent="0.3">
      <c r="F5" t="s">
        <v>11</v>
      </c>
      <c r="G5">
        <v>300</v>
      </c>
    </row>
    <row r="6" spans="6:8" x14ac:dyDescent="0.3">
      <c r="F6" t="s">
        <v>1</v>
      </c>
      <c r="G6">
        <v>51.1953125</v>
      </c>
      <c r="H6">
        <v>48</v>
      </c>
    </row>
    <row r="7" spans="6:8" x14ac:dyDescent="0.3">
      <c r="F7" t="s">
        <v>45</v>
      </c>
      <c r="G7">
        <v>42</v>
      </c>
    </row>
    <row r="8" spans="6:8" x14ac:dyDescent="0.3">
      <c r="F8" t="s">
        <v>12</v>
      </c>
      <c r="G8">
        <v>1.0859375</v>
      </c>
      <c r="H8">
        <f>H6*G8</f>
        <v>52.125</v>
      </c>
    </row>
    <row r="9" spans="6:8" x14ac:dyDescent="0.3">
      <c r="F9" t="s">
        <v>13</v>
      </c>
      <c r="G9">
        <v>39.84375</v>
      </c>
      <c r="H9">
        <f>G9</f>
        <v>39.84375</v>
      </c>
    </row>
    <row r="10" spans="6:8" x14ac:dyDescent="0.3">
      <c r="F10" t="s">
        <v>0</v>
      </c>
      <c r="G10">
        <v>45</v>
      </c>
      <c r="H10">
        <f>G10/48*$G$6</f>
        <v>47.99560546875</v>
      </c>
    </row>
    <row r="11" spans="6:8" x14ac:dyDescent="0.3">
      <c r="F11" t="s">
        <v>2</v>
      </c>
      <c r="G11">
        <v>44.748152343750007</v>
      </c>
      <c r="H11">
        <f t="shared" ref="H11:H19" si="0">G11/48*$G$6</f>
        <v>47.726992563247684</v>
      </c>
    </row>
    <row r="12" spans="6:8" x14ac:dyDescent="0.3">
      <c r="F12" t="s">
        <v>3</v>
      </c>
      <c r="G12">
        <v>44.244457031250001</v>
      </c>
      <c r="H12">
        <f t="shared" si="0"/>
        <v>47.189766752243045</v>
      </c>
    </row>
    <row r="13" spans="6:8" x14ac:dyDescent="0.3">
      <c r="F13" t="s">
        <v>4</v>
      </c>
      <c r="G13">
        <v>43.488914062499994</v>
      </c>
      <c r="H13">
        <f t="shared" si="0"/>
        <v>46.383928035736076</v>
      </c>
    </row>
    <row r="14" spans="6:8" x14ac:dyDescent="0.3">
      <c r="F14" t="s">
        <v>5</v>
      </c>
      <c r="G14">
        <v>42.733371093749994</v>
      </c>
      <c r="H14">
        <f t="shared" si="0"/>
        <v>45.578089319229122</v>
      </c>
    </row>
    <row r="15" spans="6:8" x14ac:dyDescent="0.3">
      <c r="F15" t="s">
        <v>6</v>
      </c>
      <c r="G15">
        <v>41.999999999999993</v>
      </c>
      <c r="H15">
        <f t="shared" si="0"/>
        <v>44.795898437499993</v>
      </c>
    </row>
    <row r="16" spans="6:8" x14ac:dyDescent="0.3">
      <c r="F16" t="s">
        <v>7</v>
      </c>
      <c r="G16">
        <v>41.74815234375</v>
      </c>
      <c r="H16">
        <f t="shared" si="0"/>
        <v>44.527285531997684</v>
      </c>
    </row>
    <row r="17" spans="6:8" x14ac:dyDescent="0.3">
      <c r="F17" t="s">
        <v>8</v>
      </c>
      <c r="G17">
        <v>41.244457031249993</v>
      </c>
      <c r="H17">
        <f t="shared" si="0"/>
        <v>43.990059720993038</v>
      </c>
    </row>
    <row r="18" spans="6:8" x14ac:dyDescent="0.3">
      <c r="F18" t="s">
        <v>9</v>
      </c>
      <c r="G18">
        <v>40.488914062499987</v>
      </c>
      <c r="H18">
        <f t="shared" si="0"/>
        <v>43.184221004486069</v>
      </c>
    </row>
    <row r="19" spans="6:8" x14ac:dyDescent="0.3">
      <c r="F19" t="s">
        <v>10</v>
      </c>
      <c r="G19">
        <v>39.733371093749994</v>
      </c>
      <c r="H19">
        <f t="shared" si="0"/>
        <v>42.378382287979122</v>
      </c>
    </row>
    <row r="20" spans="6:8" x14ac:dyDescent="0.3">
      <c r="F20" t="s">
        <v>20</v>
      </c>
      <c r="G20">
        <v>1.1484375</v>
      </c>
    </row>
    <row r="21" spans="6:8" x14ac:dyDescent="0.3">
      <c r="F21" t="s">
        <v>21</v>
      </c>
      <c r="G21">
        <v>1.2109375</v>
      </c>
    </row>
    <row r="22" spans="6:8" x14ac:dyDescent="0.3">
      <c r="F22" t="s">
        <v>15</v>
      </c>
      <c r="G22">
        <v>200</v>
      </c>
    </row>
    <row r="23" spans="6:8" x14ac:dyDescent="0.3">
      <c r="F23" t="s">
        <v>16</v>
      </c>
      <c r="G23">
        <v>3000</v>
      </c>
    </row>
    <row r="24" spans="6:8" x14ac:dyDescent="0.3">
      <c r="F24" t="s">
        <v>17</v>
      </c>
      <c r="G24">
        <v>195</v>
      </c>
    </row>
    <row r="25" spans="6:8" x14ac:dyDescent="0.3">
      <c r="F25" t="s">
        <v>18</v>
      </c>
      <c r="G25">
        <v>150</v>
      </c>
    </row>
    <row r="26" spans="6:8" x14ac:dyDescent="0.3">
      <c r="F26" t="s">
        <v>19</v>
      </c>
      <c r="G26">
        <v>975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A6B70-FDB0-45C3-A3A8-F54382DBB904}">
  <sheetPr codeName="Sheet1"/>
  <dimension ref="A1:R26"/>
  <sheetViews>
    <sheetView workbookViewId="0">
      <selection activeCell="B17" sqref="B17"/>
    </sheetView>
  </sheetViews>
  <sheetFormatPr defaultRowHeight="14.4" x14ac:dyDescent="0.3"/>
  <cols>
    <col min="1" max="1" width="45.5546875" bestFit="1" customWidth="1"/>
    <col min="2" max="2" width="4" bestFit="1" customWidth="1"/>
    <col min="3" max="3" width="8.109375" customWidth="1"/>
    <col min="9" max="9" width="17.21875" customWidth="1"/>
  </cols>
  <sheetData>
    <row r="1" spans="1:18" x14ac:dyDescent="0.3">
      <c r="D1">
        <v>16</v>
      </c>
      <c r="E1">
        <v>15</v>
      </c>
      <c r="F1">
        <v>14</v>
      </c>
      <c r="G1">
        <v>13</v>
      </c>
    </row>
    <row r="2" spans="1:18" ht="28.8" x14ac:dyDescent="0.3">
      <c r="A2" t="s">
        <v>1</v>
      </c>
      <c r="C2">
        <v>48</v>
      </c>
      <c r="D2">
        <f>D1*$H2</f>
        <v>51.2</v>
      </c>
      <c r="E2">
        <f>E1*$H2</f>
        <v>48</v>
      </c>
      <c r="F2">
        <f>F1*$H2</f>
        <v>44.800000000000004</v>
      </c>
      <c r="G2">
        <f>G1*$H2</f>
        <v>41.6</v>
      </c>
      <c r="H2">
        <v>3.2</v>
      </c>
      <c r="I2" s="1" t="s">
        <v>26</v>
      </c>
      <c r="J2" t="s">
        <v>25</v>
      </c>
      <c r="K2" t="s">
        <v>23</v>
      </c>
      <c r="L2" t="s">
        <v>24</v>
      </c>
      <c r="M2" t="s">
        <v>22</v>
      </c>
    </row>
    <row r="3" spans="1:18" x14ac:dyDescent="0.3">
      <c r="A3" t="s">
        <v>0</v>
      </c>
      <c r="B3">
        <v>0</v>
      </c>
      <c r="C3">
        <f>D3*48/$D$2</f>
        <v>45</v>
      </c>
      <c r="D3">
        <f>D$1*$H3-($J3)</f>
        <v>48</v>
      </c>
      <c r="E3">
        <f t="shared" ref="E3:G12" si="0">E$1*$H3-$J3</f>
        <v>45</v>
      </c>
      <c r="F3">
        <f t="shared" si="0"/>
        <v>42</v>
      </c>
      <c r="G3">
        <f t="shared" si="0"/>
        <v>39</v>
      </c>
      <c r="H3">
        <v>3</v>
      </c>
      <c r="I3">
        <f>0.2485/1000*3+0.01</f>
        <v>1.07455E-2</v>
      </c>
      <c r="J3">
        <f t="shared" ref="J3:J12" si="1">B3*I3</f>
        <v>0</v>
      </c>
      <c r="K3">
        <v>25</v>
      </c>
      <c r="L3">
        <f>K3*6</f>
        <v>150</v>
      </c>
      <c r="M3">
        <v>48.09</v>
      </c>
      <c r="O3">
        <v>48</v>
      </c>
      <c r="P3">
        <v>52.8</v>
      </c>
      <c r="Q3">
        <v>47.999999999999993</v>
      </c>
      <c r="R3">
        <f>Q3*13/16</f>
        <v>38.999999999999993</v>
      </c>
    </row>
    <row r="4" spans="1:18" x14ac:dyDescent="0.3">
      <c r="A4" t="s">
        <v>2</v>
      </c>
      <c r="B4">
        <v>25</v>
      </c>
      <c r="C4">
        <f t="shared" ref="C4:C12" si="2">D4*48/$D$2</f>
        <v>44.748152343750007</v>
      </c>
      <c r="D4">
        <f t="shared" ref="D4:D12" si="3">D$1*$H4-($J4)</f>
        <v>47.731362500000003</v>
      </c>
      <c r="E4">
        <f t="shared" si="0"/>
        <v>44.731362500000003</v>
      </c>
      <c r="F4">
        <f t="shared" si="0"/>
        <v>41.731362500000003</v>
      </c>
      <c r="G4">
        <f t="shared" si="0"/>
        <v>38.731362500000003</v>
      </c>
      <c r="H4">
        <v>3</v>
      </c>
      <c r="I4">
        <f t="shared" ref="I4:I12" si="4">0.2485/1000*3+0.01</f>
        <v>1.07455E-2</v>
      </c>
      <c r="J4">
        <f t="shared" si="1"/>
        <v>0.26863749999999997</v>
      </c>
      <c r="M4">
        <v>48</v>
      </c>
      <c r="O4">
        <v>47.699426573426578</v>
      </c>
      <c r="P4">
        <v>52.5313625</v>
      </c>
      <c r="Q4">
        <v>47.731362499999996</v>
      </c>
      <c r="R4">
        <f t="shared" ref="R4:R12" si="5">Q4*13/16</f>
        <v>38.781732031249994</v>
      </c>
    </row>
    <row r="5" spans="1:18" x14ac:dyDescent="0.3">
      <c r="A5" t="s">
        <v>3</v>
      </c>
      <c r="B5">
        <v>75</v>
      </c>
      <c r="C5">
        <f t="shared" si="2"/>
        <v>44.244457031250001</v>
      </c>
      <c r="D5">
        <f t="shared" si="3"/>
        <v>47.194087500000002</v>
      </c>
      <c r="E5">
        <f t="shared" si="0"/>
        <v>44.194087500000002</v>
      </c>
      <c r="F5">
        <f t="shared" si="0"/>
        <v>41.194087500000002</v>
      </c>
      <c r="G5">
        <f t="shared" si="0"/>
        <v>38.194087500000002</v>
      </c>
      <c r="H5">
        <v>3</v>
      </c>
      <c r="I5">
        <f t="shared" si="4"/>
        <v>1.07455E-2</v>
      </c>
      <c r="J5">
        <f t="shared" si="1"/>
        <v>0.80591250000000003</v>
      </c>
      <c r="M5">
        <v>47</v>
      </c>
      <c r="O5">
        <v>47.09827972027972</v>
      </c>
      <c r="P5">
        <v>51.994087499999999</v>
      </c>
      <c r="Q5">
        <v>47.194087499999995</v>
      </c>
      <c r="R5">
        <f t="shared" si="5"/>
        <v>38.345196093749998</v>
      </c>
    </row>
    <row r="6" spans="1:18" x14ac:dyDescent="0.3">
      <c r="A6" t="s">
        <v>4</v>
      </c>
      <c r="B6">
        <v>150</v>
      </c>
      <c r="C6">
        <f t="shared" si="2"/>
        <v>43.488914062499994</v>
      </c>
      <c r="D6">
        <f t="shared" si="3"/>
        <v>46.388174999999997</v>
      </c>
      <c r="E6">
        <f t="shared" si="0"/>
        <v>43.388174999999997</v>
      </c>
      <c r="F6">
        <f t="shared" si="0"/>
        <v>40.388174999999997</v>
      </c>
      <c r="G6">
        <f t="shared" si="0"/>
        <v>37.388174999999997</v>
      </c>
      <c r="H6">
        <v>3</v>
      </c>
      <c r="I6">
        <f t="shared" si="4"/>
        <v>1.07455E-2</v>
      </c>
      <c r="J6">
        <f t="shared" si="1"/>
        <v>1.6118250000000001</v>
      </c>
      <c r="M6">
        <v>46</v>
      </c>
      <c r="O6">
        <v>46.19655944055944</v>
      </c>
      <c r="P6">
        <v>51.188174999999994</v>
      </c>
      <c r="Q6">
        <v>46.38817499999999</v>
      </c>
      <c r="R6">
        <f t="shared" si="5"/>
        <v>37.690392187499995</v>
      </c>
    </row>
    <row r="7" spans="1:18" x14ac:dyDescent="0.3">
      <c r="A7" t="s">
        <v>5</v>
      </c>
      <c r="B7">
        <v>225</v>
      </c>
      <c r="C7">
        <f t="shared" si="2"/>
        <v>42.733371093749994</v>
      </c>
      <c r="D7">
        <f t="shared" si="3"/>
        <v>45.582262499999999</v>
      </c>
      <c r="E7">
        <f t="shared" si="0"/>
        <v>42.582262499999999</v>
      </c>
      <c r="F7">
        <f t="shared" si="0"/>
        <v>39.582262499999999</v>
      </c>
      <c r="G7">
        <f t="shared" si="0"/>
        <v>36.582262499999999</v>
      </c>
      <c r="H7">
        <v>3</v>
      </c>
      <c r="I7">
        <f t="shared" si="4"/>
        <v>1.07455E-2</v>
      </c>
      <c r="J7">
        <f t="shared" si="1"/>
        <v>2.4177374999999999</v>
      </c>
      <c r="M7">
        <v>45</v>
      </c>
      <c r="O7">
        <v>45.29483916083916</v>
      </c>
      <c r="P7">
        <v>50.382262499999996</v>
      </c>
      <c r="Q7">
        <v>45.582262499999992</v>
      </c>
      <c r="R7">
        <f t="shared" si="5"/>
        <v>37.035588281249993</v>
      </c>
    </row>
    <row r="8" spans="1:18" x14ac:dyDescent="0.3">
      <c r="A8" t="s">
        <v>6</v>
      </c>
      <c r="B8">
        <v>0</v>
      </c>
      <c r="C8">
        <f t="shared" si="2"/>
        <v>43.499999999999993</v>
      </c>
      <c r="D8">
        <f t="shared" si="3"/>
        <v>46.4</v>
      </c>
      <c r="E8">
        <f t="shared" si="0"/>
        <v>43.5</v>
      </c>
      <c r="F8">
        <f t="shared" si="0"/>
        <v>40.6</v>
      </c>
      <c r="G8">
        <f t="shared" si="0"/>
        <v>37.699999999999996</v>
      </c>
      <c r="H8">
        <v>2.9</v>
      </c>
      <c r="I8">
        <f t="shared" si="4"/>
        <v>1.07455E-2</v>
      </c>
      <c r="J8">
        <f t="shared" si="1"/>
        <v>0</v>
      </c>
      <c r="M8">
        <v>47.09</v>
      </c>
      <c r="O8">
        <v>43.63636363636364</v>
      </c>
      <c r="P8">
        <v>48</v>
      </c>
      <c r="Q8">
        <v>43.63636363636364</v>
      </c>
      <c r="R8">
        <f t="shared" si="5"/>
        <v>35.45454545454546</v>
      </c>
    </row>
    <row r="9" spans="1:18" x14ac:dyDescent="0.3">
      <c r="A9" t="s">
        <v>7</v>
      </c>
      <c r="B9">
        <v>25</v>
      </c>
      <c r="C9">
        <f t="shared" si="2"/>
        <v>43.24815234375</v>
      </c>
      <c r="D9">
        <f t="shared" si="3"/>
        <v>46.131362500000002</v>
      </c>
      <c r="E9">
        <f t="shared" si="0"/>
        <v>43.231362500000003</v>
      </c>
      <c r="F9">
        <f t="shared" si="0"/>
        <v>40.331362500000004</v>
      </c>
      <c r="G9">
        <f t="shared" si="0"/>
        <v>37.431362499999999</v>
      </c>
      <c r="H9">
        <v>2.9</v>
      </c>
      <c r="I9">
        <f t="shared" si="4"/>
        <v>1.07455E-2</v>
      </c>
      <c r="J9">
        <f t="shared" si="1"/>
        <v>0.26863749999999997</v>
      </c>
      <c r="M9">
        <v>47</v>
      </c>
      <c r="O9">
        <v>43.335790209790211</v>
      </c>
      <c r="P9">
        <v>47.731362500000003</v>
      </c>
      <c r="Q9">
        <v>43.367726136363643</v>
      </c>
      <c r="R9">
        <f t="shared" si="5"/>
        <v>35.236277485795462</v>
      </c>
    </row>
    <row r="10" spans="1:18" x14ac:dyDescent="0.3">
      <c r="A10" t="s">
        <v>8</v>
      </c>
      <c r="B10">
        <v>75</v>
      </c>
      <c r="C10">
        <f t="shared" si="2"/>
        <v>42.744457031250001</v>
      </c>
      <c r="D10">
        <f t="shared" si="3"/>
        <v>45.594087500000001</v>
      </c>
      <c r="E10">
        <f t="shared" si="0"/>
        <v>42.694087500000002</v>
      </c>
      <c r="F10">
        <f t="shared" si="0"/>
        <v>39.794087500000003</v>
      </c>
      <c r="G10">
        <f t="shared" si="0"/>
        <v>36.894087499999998</v>
      </c>
      <c r="H10">
        <v>2.9</v>
      </c>
      <c r="I10">
        <f t="shared" si="4"/>
        <v>1.07455E-2</v>
      </c>
      <c r="J10">
        <f t="shared" si="1"/>
        <v>0.80591250000000003</v>
      </c>
      <c r="M10">
        <v>46</v>
      </c>
      <c r="O10">
        <v>42.73464335664336</v>
      </c>
      <c r="P10">
        <v>47.194087500000002</v>
      </c>
      <c r="Q10">
        <v>42.830451136363642</v>
      </c>
      <c r="R10">
        <f t="shared" si="5"/>
        <v>34.799741548295458</v>
      </c>
    </row>
    <row r="11" spans="1:18" x14ac:dyDescent="0.3">
      <c r="A11" t="s">
        <v>9</v>
      </c>
      <c r="B11">
        <v>150</v>
      </c>
      <c r="C11">
        <f t="shared" si="2"/>
        <v>41.988914062499994</v>
      </c>
      <c r="D11">
        <f t="shared" si="3"/>
        <v>44.788174999999995</v>
      </c>
      <c r="E11">
        <f t="shared" si="0"/>
        <v>41.888174999999997</v>
      </c>
      <c r="F11">
        <f t="shared" si="0"/>
        <v>38.988174999999998</v>
      </c>
      <c r="G11">
        <f t="shared" si="0"/>
        <v>36.088174999999993</v>
      </c>
      <c r="H11">
        <v>2.9</v>
      </c>
      <c r="I11">
        <f t="shared" si="4"/>
        <v>1.07455E-2</v>
      </c>
      <c r="J11">
        <f t="shared" si="1"/>
        <v>1.6118250000000001</v>
      </c>
      <c r="M11">
        <v>45</v>
      </c>
      <c r="O11">
        <v>41.83292307692308</v>
      </c>
      <c r="P11">
        <v>46.388174999999997</v>
      </c>
      <c r="Q11">
        <v>42.024538636363637</v>
      </c>
      <c r="R11">
        <f t="shared" si="5"/>
        <v>34.144937642045456</v>
      </c>
    </row>
    <row r="12" spans="1:18" x14ac:dyDescent="0.3">
      <c r="A12" t="s">
        <v>10</v>
      </c>
      <c r="B12">
        <v>225</v>
      </c>
      <c r="C12">
        <f t="shared" si="2"/>
        <v>41.233371093749994</v>
      </c>
      <c r="D12">
        <f t="shared" si="3"/>
        <v>43.982262499999997</v>
      </c>
      <c r="E12">
        <f t="shared" si="0"/>
        <v>41.082262499999999</v>
      </c>
      <c r="F12">
        <f t="shared" si="0"/>
        <v>38.1822625</v>
      </c>
      <c r="G12">
        <f t="shared" si="0"/>
        <v>35.282262499999995</v>
      </c>
      <c r="H12">
        <v>2.9</v>
      </c>
      <c r="I12">
        <f t="shared" si="4"/>
        <v>1.07455E-2</v>
      </c>
      <c r="J12">
        <f t="shared" si="1"/>
        <v>2.4177374999999999</v>
      </c>
      <c r="M12">
        <v>44</v>
      </c>
      <c r="O12">
        <v>40.931202797202801</v>
      </c>
      <c r="P12">
        <v>45.582262499999999</v>
      </c>
      <c r="Q12">
        <v>41.218626136363639</v>
      </c>
      <c r="R12">
        <f t="shared" si="5"/>
        <v>33.490133735795453</v>
      </c>
    </row>
    <row r="13" spans="1:18" x14ac:dyDescent="0.3">
      <c r="A13" t="s">
        <v>11</v>
      </c>
      <c r="D13">
        <v>150</v>
      </c>
      <c r="E13">
        <v>150</v>
      </c>
      <c r="F13">
        <v>150</v>
      </c>
      <c r="G13">
        <v>150</v>
      </c>
      <c r="M13">
        <v>250</v>
      </c>
    </row>
    <row r="14" spans="1:18" x14ac:dyDescent="0.3">
      <c r="A14" t="s">
        <v>12</v>
      </c>
      <c r="C14">
        <f t="shared" ref="C14:C16" si="6">D14*48/52.8</f>
        <v>52.363636363636367</v>
      </c>
      <c r="D14">
        <f>D$1*$H$14</f>
        <v>57.6</v>
      </c>
      <c r="E14">
        <f>E$1*$H$14</f>
        <v>54</v>
      </c>
      <c r="F14">
        <f>F$1*$H$14</f>
        <v>50.4</v>
      </c>
      <c r="G14">
        <f>G$1*$H$14</f>
        <v>46.800000000000004</v>
      </c>
      <c r="H14">
        <v>3.6</v>
      </c>
      <c r="M14">
        <v>56.4</v>
      </c>
    </row>
    <row r="15" spans="1:18" x14ac:dyDescent="0.3">
      <c r="A15" t="s">
        <v>13</v>
      </c>
      <c r="C15">
        <f t="shared" si="6"/>
        <v>43.63636363636364</v>
      </c>
      <c r="D15">
        <f t="shared" ref="D15:G16" si="7">$H15*D$1</f>
        <v>48</v>
      </c>
      <c r="E15">
        <f t="shared" si="7"/>
        <v>45</v>
      </c>
      <c r="F15">
        <f t="shared" si="7"/>
        <v>42</v>
      </c>
      <c r="G15">
        <f t="shared" si="7"/>
        <v>39</v>
      </c>
      <c r="H15">
        <v>3</v>
      </c>
      <c r="M15">
        <v>52</v>
      </c>
    </row>
    <row r="16" spans="1:18" x14ac:dyDescent="0.3">
      <c r="A16" t="s">
        <v>14</v>
      </c>
      <c r="C16">
        <f t="shared" si="6"/>
        <v>40</v>
      </c>
      <c r="D16">
        <f t="shared" si="7"/>
        <v>44</v>
      </c>
      <c r="E16">
        <f t="shared" si="7"/>
        <v>41.25</v>
      </c>
      <c r="F16">
        <f t="shared" si="7"/>
        <v>38.5</v>
      </c>
      <c r="G16">
        <f t="shared" si="7"/>
        <v>35.75</v>
      </c>
      <c r="H16">
        <v>2.75</v>
      </c>
      <c r="M16">
        <v>48</v>
      </c>
    </row>
    <row r="17" spans="1:13" x14ac:dyDescent="0.3">
      <c r="A17" t="s">
        <v>28</v>
      </c>
      <c r="B17" s="2">
        <v>241</v>
      </c>
      <c r="C17" s="2"/>
    </row>
    <row r="18" spans="1:13" x14ac:dyDescent="0.3">
      <c r="A18" t="s">
        <v>15</v>
      </c>
      <c r="D18">
        <v>120</v>
      </c>
      <c r="E18">
        <v>120</v>
      </c>
      <c r="F18">
        <v>120</v>
      </c>
      <c r="G18">
        <v>120</v>
      </c>
      <c r="M18">
        <v>100</v>
      </c>
    </row>
    <row r="19" spans="1:13" x14ac:dyDescent="0.3">
      <c r="A19" t="s">
        <v>16</v>
      </c>
      <c r="D19">
        <v>4500</v>
      </c>
      <c r="E19">
        <v>4500</v>
      </c>
      <c r="F19">
        <v>4500</v>
      </c>
      <c r="G19">
        <v>4500</v>
      </c>
      <c r="M19">
        <v>4000</v>
      </c>
    </row>
    <row r="20" spans="1:13" x14ac:dyDescent="0.3">
      <c r="A20" t="s">
        <v>17</v>
      </c>
      <c r="D20">
        <v>150</v>
      </c>
      <c r="E20">
        <v>150</v>
      </c>
      <c r="F20">
        <v>150</v>
      </c>
      <c r="G20">
        <v>150</v>
      </c>
      <c r="M20">
        <v>40</v>
      </c>
    </row>
    <row r="21" spans="1:13" x14ac:dyDescent="0.3">
      <c r="A21" t="s">
        <v>18</v>
      </c>
      <c r="D21">
        <v>120</v>
      </c>
      <c r="E21">
        <v>120</v>
      </c>
      <c r="F21">
        <v>120</v>
      </c>
      <c r="G21">
        <v>120</v>
      </c>
      <c r="M21">
        <v>25</v>
      </c>
    </row>
    <row r="22" spans="1:13" x14ac:dyDescent="0.3">
      <c r="A22" t="s">
        <v>19</v>
      </c>
      <c r="D22">
        <v>4500</v>
      </c>
      <c r="E22">
        <v>4500</v>
      </c>
      <c r="F22">
        <v>4500</v>
      </c>
      <c r="G22">
        <v>4500</v>
      </c>
      <c r="M22">
        <v>400</v>
      </c>
    </row>
    <row r="23" spans="1:13" x14ac:dyDescent="0.3">
      <c r="A23" t="s">
        <v>20</v>
      </c>
      <c r="C23">
        <f t="shared" ref="C23:C24" si="8">D23*48/52.8</f>
        <v>51.636363636363633</v>
      </c>
      <c r="D23">
        <f t="shared" ref="D23:G24" si="9">D$1*$H23</f>
        <v>56.8</v>
      </c>
      <c r="E23">
        <f t="shared" si="9"/>
        <v>53.25</v>
      </c>
      <c r="F23">
        <f t="shared" si="9"/>
        <v>49.699999999999996</v>
      </c>
      <c r="G23">
        <f t="shared" si="9"/>
        <v>46.15</v>
      </c>
      <c r="H23">
        <v>3.55</v>
      </c>
      <c r="M23">
        <v>54.8</v>
      </c>
    </row>
    <row r="24" spans="1:13" x14ac:dyDescent="0.3">
      <c r="A24" t="s">
        <v>21</v>
      </c>
      <c r="C24">
        <f t="shared" si="8"/>
        <v>52.363636363636367</v>
      </c>
      <c r="D24">
        <f t="shared" si="9"/>
        <v>57.6</v>
      </c>
      <c r="E24">
        <f t="shared" si="9"/>
        <v>54</v>
      </c>
      <c r="F24">
        <f t="shared" si="9"/>
        <v>50.4</v>
      </c>
      <c r="G24">
        <f t="shared" si="9"/>
        <v>46.800000000000004</v>
      </c>
      <c r="H24">
        <v>3.6</v>
      </c>
      <c r="M24">
        <v>57.2</v>
      </c>
    </row>
    <row r="26" spans="1:13" x14ac:dyDescent="0.3">
      <c r="A26" t="s">
        <v>27</v>
      </c>
      <c r="D26">
        <f>D14*0.97</f>
        <v>55.872</v>
      </c>
      <c r="E26">
        <f t="shared" ref="E26:G26" si="10">E14*0.97</f>
        <v>52.379999999999995</v>
      </c>
      <c r="F26">
        <f t="shared" si="10"/>
        <v>48.887999999999998</v>
      </c>
      <c r="G26">
        <f t="shared" si="10"/>
        <v>45.396000000000001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How To</vt:lpstr>
      <vt:lpstr>Battery Table</vt:lpstr>
      <vt:lpstr>Default Battery Chemistry</vt:lpstr>
      <vt:lpstr>Sheet3</vt:lpstr>
      <vt:lpstr>Sheet1</vt:lpstr>
      <vt:lpstr>BatteryParameters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Leroy Sawatzky</dc:creator>
  <cp:lastModifiedBy>Leroy Sawatzky</cp:lastModifiedBy>
  <dcterms:created xsi:type="dcterms:W3CDTF">2020-08-14T16:06:31Z</dcterms:created>
  <dcterms:modified xsi:type="dcterms:W3CDTF">2023-05-12T21:28:13Z</dcterms:modified>
</cp:coreProperties>
</file>